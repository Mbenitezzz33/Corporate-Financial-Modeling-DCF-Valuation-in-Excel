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cea2797ffbf6ddd3/OneDrive - West Texas A and M University/Financial Management/"/>
    </mc:Choice>
  </mc:AlternateContent>
  <xr:revisionPtr revIDLastSave="1019" documentId="8_{F021F1C4-7742-4FF6-911E-589988AB5D39}" xr6:coauthVersionLast="47" xr6:coauthVersionMax="47" xr10:uidLastSave="{855B132C-0A76-439F-8949-2763152A397D}"/>
  <bookViews>
    <workbookView xWindow="2535" yWindow="1365" windowWidth="33810" windowHeight="14970" activeTab="6" xr2:uid="{CA12F3F2-D6A9-4DA2-AA40-832091129DCC}"/>
  </bookViews>
  <sheets>
    <sheet name="Dell's Financial Statements" sheetId="1" r:id="rId1"/>
    <sheet name="Template - Dell" sheetId="11" r:id="rId2"/>
    <sheet name="Sensitivity Analysis" sheetId="5" r:id="rId3"/>
    <sheet name="SMA" sheetId="14" r:id="rId4"/>
    <sheet name="Your Company's FS" sheetId="9" r:id="rId5"/>
    <sheet name="DCF Analysis for Your Project" sheetId="8" r:id="rId6"/>
    <sheet name="Alternative Profitability" sheetId="13"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1" i="8" l="1"/>
  <c r="C26" i="8"/>
  <c r="C27" i="8"/>
  <c r="C23" i="8"/>
  <c r="C22" i="8"/>
  <c r="C20" i="8"/>
  <c r="C19" i="8"/>
  <c r="I17" i="9"/>
  <c r="I21" i="9"/>
  <c r="B37" i="8"/>
  <c r="B38" i="8"/>
  <c r="D19" i="8" l="1"/>
  <c r="D26" i="8"/>
  <c r="D27" i="8"/>
  <c r="G37" i="13"/>
  <c r="F37" i="13"/>
  <c r="E37" i="13"/>
  <c r="D37" i="13"/>
  <c r="C37" i="13"/>
  <c r="B37" i="13"/>
  <c r="B34" i="13"/>
  <c r="C19" i="13"/>
  <c r="C20" i="13" s="1"/>
  <c r="B17" i="13"/>
  <c r="C17" i="13" s="1"/>
  <c r="D17" i="13" s="1"/>
  <c r="E17" i="13" s="1"/>
  <c r="F17" i="13" s="1"/>
  <c r="G17" i="13" s="1"/>
  <c r="B14" i="13"/>
  <c r="B9" i="13"/>
  <c r="B8" i="13"/>
  <c r="B6" i="13"/>
  <c r="C21" i="13" s="1"/>
  <c r="C32" i="13" s="1"/>
  <c r="L21" i="9"/>
  <c r="I10" i="1"/>
  <c r="B39" i="11"/>
  <c r="B35" i="11"/>
  <c r="C37" i="8"/>
  <c r="D37" i="8"/>
  <c r="E37" i="8"/>
  <c r="F37" i="8"/>
  <c r="G37" i="8"/>
  <c r="D33" i="8"/>
  <c r="E33" i="8"/>
  <c r="F33" i="8"/>
  <c r="G33" i="8"/>
  <c r="C33" i="8"/>
  <c r="C35" i="11"/>
  <c r="B34" i="8"/>
  <c r="B35" i="8" s="1"/>
  <c r="D28" i="8"/>
  <c r="E28" i="8"/>
  <c r="F28" i="8"/>
  <c r="G28" i="8"/>
  <c r="C28" i="8"/>
  <c r="E27" i="8"/>
  <c r="F27" i="8"/>
  <c r="G27" i="8"/>
  <c r="E26" i="8"/>
  <c r="F26" i="8"/>
  <c r="B26" i="8"/>
  <c r="B10" i="8"/>
  <c r="C23" i="11"/>
  <c r="C22" i="11"/>
  <c r="D20" i="8"/>
  <c r="E20" i="8"/>
  <c r="F20" i="8"/>
  <c r="G20" i="8"/>
  <c r="C20" i="11"/>
  <c r="E19" i="8"/>
  <c r="F19" i="8" s="1"/>
  <c r="G19" i="8" s="1"/>
  <c r="B14" i="8"/>
  <c r="B9" i="8"/>
  <c r="B8" i="8"/>
  <c r="B7" i="8"/>
  <c r="L14" i="1"/>
  <c r="B6" i="8"/>
  <c r="C21" i="8" s="1"/>
  <c r="M68" i="14"/>
  <c r="O65" i="14"/>
  <c r="N65" i="14"/>
  <c r="M65" i="14"/>
  <c r="L65" i="14"/>
  <c r="K65" i="14"/>
  <c r="T49" i="14"/>
  <c r="T44" i="14"/>
  <c r="T52" i="14" s="1"/>
  <c r="T43" i="14"/>
  <c r="T51" i="14" s="1"/>
  <c r="T42" i="14"/>
  <c r="T50" i="14" s="1"/>
  <c r="T41" i="14"/>
  <c r="T40" i="14"/>
  <c r="T48" i="14" s="1"/>
  <c r="T39" i="14"/>
  <c r="T38" i="14"/>
  <c r="U42" i="14"/>
  <c r="U50" i="14" s="1"/>
  <c r="T18" i="14"/>
  <c r="T19" i="14"/>
  <c r="T9" i="14"/>
  <c r="T22" i="14" s="1"/>
  <c r="T8" i="14"/>
  <c r="U8" i="14" s="1"/>
  <c r="U21" i="14" s="1"/>
  <c r="T7" i="14"/>
  <c r="T20" i="14" s="1"/>
  <c r="T6" i="14"/>
  <c r="T5" i="14"/>
  <c r="T4" i="14"/>
  <c r="U6" i="14" s="1"/>
  <c r="U19" i="14" s="1"/>
  <c r="T3" i="14"/>
  <c r="J17" i="9"/>
  <c r="J39" i="9" s="1"/>
  <c r="K17" i="9"/>
  <c r="L17" i="9"/>
  <c r="C38" i="11"/>
  <c r="D38" i="11"/>
  <c r="E38" i="11"/>
  <c r="F38" i="11"/>
  <c r="G38" i="11"/>
  <c r="B38" i="11"/>
  <c r="C37" i="11"/>
  <c r="D37" i="11"/>
  <c r="E37" i="11"/>
  <c r="F37" i="11"/>
  <c r="G37" i="11"/>
  <c r="B37" i="11"/>
  <c r="C19" i="11"/>
  <c r="B26" i="11"/>
  <c r="J10" i="1"/>
  <c r="J32" i="1" s="1"/>
  <c r="K10" i="1"/>
  <c r="L10" i="1"/>
  <c r="I32" i="1"/>
  <c r="K39" i="9"/>
  <c r="L39" i="9"/>
  <c r="I39" i="9"/>
  <c r="L36" i="9"/>
  <c r="K36" i="9"/>
  <c r="J36" i="9"/>
  <c r="J35" i="9"/>
  <c r="K35" i="9"/>
  <c r="L35" i="9"/>
  <c r="I35" i="9"/>
  <c r="I28" i="1"/>
  <c r="K31" i="9"/>
  <c r="L31" i="9"/>
  <c r="J31" i="9"/>
  <c r="K29" i="9"/>
  <c r="L29" i="9"/>
  <c r="J29" i="9"/>
  <c r="K27" i="9"/>
  <c r="L27" i="9"/>
  <c r="J27" i="9"/>
  <c r="J33" i="9"/>
  <c r="K33" i="9"/>
  <c r="L33" i="9"/>
  <c r="I33" i="9"/>
  <c r="I14" i="1"/>
  <c r="J21" i="9"/>
  <c r="K21" i="9"/>
  <c r="H37" i="1"/>
  <c r="J10" i="9"/>
  <c r="K10" i="9" s="1"/>
  <c r="L10" i="9" s="1"/>
  <c r="B14" i="5"/>
  <c r="C21" i="5" s="1"/>
  <c r="B4" i="11"/>
  <c r="B16" i="5"/>
  <c r="B15" i="5"/>
  <c r="F28" i="5"/>
  <c r="G29" i="5" s="1"/>
  <c r="E28" i="5"/>
  <c r="D28" i="5"/>
  <c r="C28" i="5"/>
  <c r="C19" i="5"/>
  <c r="D19" i="5" s="1"/>
  <c r="E19" i="5" s="1"/>
  <c r="F19" i="5" s="1"/>
  <c r="G19" i="5" s="1"/>
  <c r="B9" i="5"/>
  <c r="B8" i="5"/>
  <c r="B7" i="5"/>
  <c r="B4" i="5"/>
  <c r="B36" i="5" s="1"/>
  <c r="D33" i="11"/>
  <c r="E33" i="11"/>
  <c r="F33" i="11"/>
  <c r="G33" i="11"/>
  <c r="C33" i="11"/>
  <c r="D32" i="11"/>
  <c r="E32" i="11"/>
  <c r="F32" i="11"/>
  <c r="B34" i="11"/>
  <c r="G27" i="11"/>
  <c r="G28" i="11" s="1"/>
  <c r="D28" i="11"/>
  <c r="E28" i="11"/>
  <c r="F28" i="11"/>
  <c r="C28" i="11"/>
  <c r="D27" i="11"/>
  <c r="E27" i="11"/>
  <c r="F27" i="11"/>
  <c r="C27" i="11"/>
  <c r="D26" i="11"/>
  <c r="E26" i="11"/>
  <c r="F26" i="11"/>
  <c r="C26" i="11"/>
  <c r="B10" i="11"/>
  <c r="D22" i="11"/>
  <c r="E22" i="11"/>
  <c r="F22" i="11"/>
  <c r="D21" i="11"/>
  <c r="D23" i="11" s="1"/>
  <c r="D31" i="11" s="1"/>
  <c r="D35" i="11" s="1"/>
  <c r="E21" i="11"/>
  <c r="E23" i="11" s="1"/>
  <c r="E31" i="11" s="1"/>
  <c r="E35" i="11" s="1"/>
  <c r="F21" i="11"/>
  <c r="F23" i="11" s="1"/>
  <c r="F31" i="11" s="1"/>
  <c r="F35" i="11" s="1"/>
  <c r="G21" i="11"/>
  <c r="G32" i="11" s="1"/>
  <c r="C21" i="11"/>
  <c r="D20" i="11"/>
  <c r="E20" i="11"/>
  <c r="F20" i="11"/>
  <c r="G20" i="11"/>
  <c r="E19" i="11"/>
  <c r="F19" i="11" s="1"/>
  <c r="G19" i="11" s="1"/>
  <c r="D19" i="11"/>
  <c r="B14" i="11"/>
  <c r="B9" i="11"/>
  <c r="B8" i="11"/>
  <c r="J28" i="1"/>
  <c r="K28" i="1"/>
  <c r="L28" i="1"/>
  <c r="L29" i="1"/>
  <c r="B7" i="11"/>
  <c r="B6" i="11"/>
  <c r="K32" i="1"/>
  <c r="L32" i="1"/>
  <c r="K29" i="1"/>
  <c r="J29" i="1"/>
  <c r="J26" i="1"/>
  <c r="K26" i="1"/>
  <c r="L26" i="1"/>
  <c r="I26" i="1"/>
  <c r="K24" i="1"/>
  <c r="L24" i="1"/>
  <c r="J24" i="1"/>
  <c r="K22" i="1"/>
  <c r="L22" i="1"/>
  <c r="J22" i="1"/>
  <c r="K20" i="1"/>
  <c r="L20" i="1"/>
  <c r="J20" i="1"/>
  <c r="J14" i="1"/>
  <c r="K14" i="1"/>
  <c r="J3" i="1"/>
  <c r="K3" i="1" s="1"/>
  <c r="L3" i="1" s="1"/>
  <c r="C32" i="8" l="1"/>
  <c r="D21" i="8"/>
  <c r="C35" i="8"/>
  <c r="C23" i="13"/>
  <c r="C22" i="13"/>
  <c r="C31" i="13"/>
  <c r="B10" i="13"/>
  <c r="B26" i="13" s="1"/>
  <c r="B35" i="13" s="1"/>
  <c r="D19" i="13"/>
  <c r="C26" i="13"/>
  <c r="C27" i="13" s="1"/>
  <c r="D21" i="13"/>
  <c r="U44" i="14"/>
  <c r="U52" i="14" s="1"/>
  <c r="U43" i="14"/>
  <c r="U51" i="14" s="1"/>
  <c r="U41" i="14"/>
  <c r="U49" i="14" s="1"/>
  <c r="U40" i="14"/>
  <c r="U48" i="14" s="1"/>
  <c r="U9" i="14"/>
  <c r="U22" i="14" s="1"/>
  <c r="T21" i="14"/>
  <c r="U7" i="14"/>
  <c r="U20" i="14" s="1"/>
  <c r="U5" i="14"/>
  <c r="U18" i="14" s="1"/>
  <c r="C31" i="11"/>
  <c r="G23" i="11"/>
  <c r="G31" i="11" s="1"/>
  <c r="G35" i="11" s="1"/>
  <c r="C32" i="11"/>
  <c r="G22" i="11"/>
  <c r="D29" i="5"/>
  <c r="D35" i="5" s="1"/>
  <c r="E29" i="5"/>
  <c r="E30" i="5" s="1"/>
  <c r="B6" i="5"/>
  <c r="B10" i="5"/>
  <c r="B28" i="5" s="1"/>
  <c r="C29" i="5" s="1"/>
  <c r="C22" i="5"/>
  <c r="D21" i="5"/>
  <c r="D22" i="5" s="1"/>
  <c r="G35" i="5"/>
  <c r="G30" i="5"/>
  <c r="E35" i="5"/>
  <c r="F29" i="5"/>
  <c r="D3" i="1"/>
  <c r="E3" i="1"/>
  <c r="C3" i="1"/>
  <c r="B17" i="8"/>
  <c r="C17" i="8"/>
  <c r="D17" i="8"/>
  <c r="E17" i="8"/>
  <c r="F17" i="8"/>
  <c r="G17" i="8"/>
  <c r="C17" i="11"/>
  <c r="D17" i="11"/>
  <c r="E17" i="11"/>
  <c r="F17" i="11"/>
  <c r="G17" i="11"/>
  <c r="C38" i="8" l="1"/>
  <c r="D23" i="8"/>
  <c r="E21" i="8"/>
  <c r="D32" i="8"/>
  <c r="D22" i="8"/>
  <c r="D31" i="8"/>
  <c r="B38" i="13"/>
  <c r="D32" i="13"/>
  <c r="E21" i="13"/>
  <c r="C28" i="13"/>
  <c r="C33" i="13"/>
  <c r="C35" i="13" s="1"/>
  <c r="D20" i="13"/>
  <c r="E19" i="13"/>
  <c r="D26" i="13"/>
  <c r="D27" i="13" s="1"/>
  <c r="D30" i="5"/>
  <c r="E21" i="5"/>
  <c r="E22" i="5" s="1"/>
  <c r="G23" i="5"/>
  <c r="G34" i="5" s="1"/>
  <c r="F23" i="5"/>
  <c r="F34" i="5" s="1"/>
  <c r="E23" i="5"/>
  <c r="E34" i="5" s="1"/>
  <c r="C23" i="5"/>
  <c r="D23" i="5"/>
  <c r="D34" i="5" s="1"/>
  <c r="D24" i="5"/>
  <c r="B37" i="5"/>
  <c r="C35" i="5"/>
  <c r="C30" i="5"/>
  <c r="F30" i="5"/>
  <c r="F35" i="5"/>
  <c r="D35" i="8" l="1"/>
  <c r="E31" i="8"/>
  <c r="E23" i="8"/>
  <c r="F21" i="8"/>
  <c r="E32" i="8"/>
  <c r="E22" i="8"/>
  <c r="C38" i="13"/>
  <c r="D23" i="13"/>
  <c r="D31" i="13"/>
  <c r="D22" i="13"/>
  <c r="E32" i="13"/>
  <c r="F21" i="13"/>
  <c r="D28" i="13"/>
  <c r="D33" i="13"/>
  <c r="E20" i="13"/>
  <c r="E26" i="13"/>
  <c r="E27" i="13" s="1"/>
  <c r="F19" i="13"/>
  <c r="F21" i="5"/>
  <c r="F22" i="5" s="1"/>
  <c r="C34" i="5"/>
  <c r="C24" i="5"/>
  <c r="C25" i="5"/>
  <c r="C33" i="5" s="1"/>
  <c r="D25" i="5"/>
  <c r="D33" i="5" s="1"/>
  <c r="D37" i="5" s="1"/>
  <c r="E25" i="5"/>
  <c r="E33" i="5" s="1"/>
  <c r="E37" i="5" s="1"/>
  <c r="E24" i="5"/>
  <c r="G21" i="5"/>
  <c r="G22" i="5" s="1"/>
  <c r="D38" i="8" l="1"/>
  <c r="E35" i="8"/>
  <c r="G21" i="8"/>
  <c r="F23" i="8"/>
  <c r="F31" i="8"/>
  <c r="F32" i="8"/>
  <c r="F22" i="8"/>
  <c r="G19" i="13"/>
  <c r="G20" i="13" s="1"/>
  <c r="F26" i="13"/>
  <c r="F20" i="13"/>
  <c r="D35" i="13"/>
  <c r="F32" i="13"/>
  <c r="G21" i="13"/>
  <c r="G32" i="13" s="1"/>
  <c r="E28" i="13"/>
  <c r="E33" i="13"/>
  <c r="E23" i="13"/>
  <c r="E31" i="13"/>
  <c r="E22" i="13"/>
  <c r="C37" i="5"/>
  <c r="G25" i="5"/>
  <c r="G33" i="5" s="1"/>
  <c r="G37" i="5" s="1"/>
  <c r="G24" i="5"/>
  <c r="F24" i="5"/>
  <c r="F25" i="5"/>
  <c r="F33" i="5" s="1"/>
  <c r="F37" i="5" s="1"/>
  <c r="E38" i="8" l="1"/>
  <c r="F35" i="8"/>
  <c r="G22" i="8"/>
  <c r="G23" i="8"/>
  <c r="G31" i="8"/>
  <c r="G32" i="8"/>
  <c r="D38" i="13"/>
  <c r="G31" i="13"/>
  <c r="G23" i="13"/>
  <c r="G22" i="13"/>
  <c r="F23" i="13"/>
  <c r="F31" i="13"/>
  <c r="F22" i="13"/>
  <c r="E35" i="13"/>
  <c r="E38" i="13" s="1"/>
  <c r="F27" i="13"/>
  <c r="G27" i="13"/>
  <c r="B41" i="5"/>
  <c r="J12" i="5" s="1"/>
  <c r="F38" i="8" l="1"/>
  <c r="G35" i="8"/>
  <c r="G38" i="8" s="1"/>
  <c r="F35" i="13"/>
  <c r="F38" i="13" s="1"/>
  <c r="G33" i="13"/>
  <c r="G35" i="13" s="1"/>
  <c r="G28" i="13"/>
  <c r="F28" i="13"/>
  <c r="F33" i="13"/>
  <c r="B39" i="8" l="1"/>
  <c r="G38" i="13"/>
  <c r="B39" i="13"/>
</calcChain>
</file>

<file path=xl/sharedStrings.xml><?xml version="1.0" encoding="utf-8"?>
<sst xmlns="http://schemas.openxmlformats.org/spreadsheetml/2006/main" count="1888" uniqueCount="371">
  <si>
    <t>Financial Statement for: DELL TECHNOLOGIES INC</t>
  </si>
  <si>
    <t>BALANCE SHEET</t>
  </si>
  <si>
    <t>Initial Capital Expenditure (Year 0)</t>
  </si>
  <si>
    <t>Annual Depreciation</t>
  </si>
  <si>
    <t>Initial Net Working Capital (Year 0)</t>
  </si>
  <si>
    <t>Tax Rate</t>
  </si>
  <si>
    <t>Cost of Capital</t>
  </si>
  <si>
    <t>Year</t>
  </si>
  <si>
    <t>Unlevered Income Statements</t>
  </si>
  <si>
    <t>Unlevered Net Income</t>
  </si>
  <si>
    <t>Working Capital Calculations</t>
  </si>
  <si>
    <t>NWC Level</t>
  </si>
  <si>
    <t>Change in NWC</t>
  </si>
  <si>
    <t>CF from Change in NWC</t>
  </si>
  <si>
    <t>Free Cash Flow</t>
  </si>
  <si>
    <t>Discount Factor (1/(1+r)^n)</t>
  </si>
  <si>
    <t>PV(FCF)</t>
  </si>
  <si>
    <t>NPV</t>
  </si>
  <si>
    <t>NPV for Dell's New Tablet Computer</t>
  </si>
  <si>
    <t>EBITDA/Sales profit margin</t>
  </si>
  <si>
    <t>Useful Life of Assets (in year)</t>
  </si>
  <si>
    <t>Assumptions (Amounts in Millions Unless Otherwise Indicated)</t>
  </si>
  <si>
    <t>&lt;-- 5-year</t>
  </si>
  <si>
    <t>&lt;-- The EBITDA/Sales profit margin in the last year = Operating Income Before Depreciation/Sales (Net)</t>
  </si>
  <si>
    <t>&lt;--  Annual depreciation = (Purchase value -Salvage value)/useful life, where purchase value equals the initial capital expenditure, and salvage value = 0</t>
  </si>
  <si>
    <t>EBITDA</t>
  </si>
  <si>
    <t>Depreciation</t>
  </si>
  <si>
    <t>Tax</t>
  </si>
  <si>
    <t>Net working capital in the last year</t>
  </si>
  <si>
    <t>Net working capital/Sales (Net) in the last year</t>
  </si>
  <si>
    <t>&lt;-- accounts receivable +  inventory - accounts payable = "Receivables" +  "Inventories - Total" - "Accounts Payable"</t>
  </si>
  <si>
    <t xml:space="preserve">&lt;-- Net working capital/Sales (Net) </t>
  </si>
  <si>
    <t>Revenues</t>
  </si>
  <si>
    <t>Revenues in Year 1</t>
  </si>
  <si>
    <t>Net Working Capital in Year 5</t>
  </si>
  <si>
    <t>Revenue Growth Rate per Year</t>
  </si>
  <si>
    <t>&lt;-- At the end of the project life (Year 5), you recover all the net working capital for the project. (E.g., sell all inventory, collect receivable, and pay the accounts payable.) Thus, The NWC level in Year 5 equals zero.</t>
  </si>
  <si>
    <t>Calculating Free Cash Flows</t>
  </si>
  <si>
    <t>&lt;-- 6% of Gross PPE at the end of last fiscal year = 6%*"P.P.&amp; E.- Total (Gross)"</t>
  </si>
  <si>
    <t>Subtract Change in NWC</t>
  </si>
  <si>
    <t>Subtract Capital Expenditure</t>
  </si>
  <si>
    <t>Add Back Depreciation</t>
  </si>
  <si>
    <t>Sensitivity Analysis</t>
  </si>
  <si>
    <t>Parameter</t>
  </si>
  <si>
    <t>Initial Assumption</t>
  </si>
  <si>
    <t>Worst Case</t>
  </si>
  <si>
    <t>Best Case</t>
  </si>
  <si>
    <t>Copy your baseline projections to this sheet and do the sensitivity analysis in this sheet, so that your sensitivity analysis won't alter your baseline sheet.</t>
  </si>
  <si>
    <t>Sales in Year 1</t>
  </si>
  <si>
    <t>NPV for Your Company's Project</t>
  </si>
  <si>
    <t>&lt;-- 1% of project sales in Year 1</t>
  </si>
  <si>
    <t>&lt;-- 6% of the company's total revenue in the last fiscal year = 6%* Sales (Net)</t>
  </si>
  <si>
    <t>6% of Company's Revenues in the last fiscal year</t>
  </si>
  <si>
    <t>2% of Company's Revenues in the last fiscal year</t>
  </si>
  <si>
    <t>7% of Company's Revenues in the last fiscal year</t>
  </si>
  <si>
    <t>Download your company's financial statements in the last four fiscal years from WRDS and copy them to this sheet.</t>
  </si>
  <si>
    <t>Implement the DCF analysis for YOUR project in this sheet, not Dell's.</t>
  </si>
  <si>
    <t>Fiscal Years: 2021 to 2024</t>
  </si>
  <si>
    <t>ASSETS</t>
  </si>
  <si>
    <t>Cash and Short-Term Investments</t>
  </si>
  <si>
    <t xml:space="preserve">            Cash</t>
  </si>
  <si>
    <t xml:space="preserve">            Short-Term Investments</t>
  </si>
  <si>
    <t>Receivables</t>
  </si>
  <si>
    <t xml:space="preserve">            Receivables - Trade</t>
  </si>
  <si>
    <t xml:space="preserve">            Income Tax Refund</t>
  </si>
  <si>
    <t xml:space="preserve">            Current Receivables - Other</t>
  </si>
  <si>
    <t>Inventories - Total</t>
  </si>
  <si>
    <t xml:space="preserve">            Inventories - Raw Materials</t>
  </si>
  <si>
    <t xml:space="preserve">            Inventories - Work in Process</t>
  </si>
  <si>
    <t xml:space="preserve">            Inventories - Finished Goods</t>
  </si>
  <si>
    <t xml:space="preserve">            Inventories - Other</t>
  </si>
  <si>
    <t>Current Assets - Other</t>
  </si>
  <si>
    <t xml:space="preserve">            Prepaid Expense</t>
  </si>
  <si>
    <t xml:space="preserve">            Other Curr.Asst, Excl.Ppd.Exp.</t>
  </si>
  <si>
    <t>Current Assets - Total</t>
  </si>
  <si>
    <t>Prop.Plant &amp; Equip.- Total (Net)</t>
  </si>
  <si>
    <t xml:space="preserve">            P.P.&amp; E.- Total (Gross)</t>
  </si>
  <si>
    <t xml:space="preserve">            Deprec.Depl.&amp; Amort.</t>
  </si>
  <si>
    <t>Invest. &amp; Advances - Eq.Meth.</t>
  </si>
  <si>
    <t>Invest. &amp; Advances - Other</t>
  </si>
  <si>
    <t>Intangibles</t>
  </si>
  <si>
    <t>Assets - Other</t>
  </si>
  <si>
    <t xml:space="preserve">            Deferred Charges</t>
  </si>
  <si>
    <t>.</t>
  </si>
  <si>
    <t xml:space="preserve">            Other Asst., Excl.Def.Chg.</t>
  </si>
  <si>
    <t>Assets - Total</t>
  </si>
  <si>
    <t>LIABILITIES</t>
  </si>
  <si>
    <t>Debt in Current Liabilities</t>
  </si>
  <si>
    <t xml:space="preserve">            Notes Payable</t>
  </si>
  <si>
    <t xml:space="preserve">            Debt - Due in One Year</t>
  </si>
  <si>
    <t>Accounts Payable</t>
  </si>
  <si>
    <t>Income Taxes Payable</t>
  </si>
  <si>
    <t>Current Liabilities - Other</t>
  </si>
  <si>
    <t xml:space="preserve">            Accrued Expense</t>
  </si>
  <si>
    <t xml:space="preserve">            Other Curr.Liab., Excl.Accr.Exp.</t>
  </si>
  <si>
    <t>Current Liabilities - Total</t>
  </si>
  <si>
    <t>Long-Term Debt - Total</t>
  </si>
  <si>
    <t xml:space="preserve">            Debt - Convertible (Total)</t>
  </si>
  <si>
    <t xml:space="preserve">            Debt - Subordinated Convertible</t>
  </si>
  <si>
    <t xml:space="preserve">            Debt - Senior Convertible</t>
  </si>
  <si>
    <t xml:space="preserve">            Debt - Subordinated</t>
  </si>
  <si>
    <t xml:space="preserve">            Debt - Notes</t>
  </si>
  <si>
    <t xml:space="preserve">            Debt - Debentures</t>
  </si>
  <si>
    <t xml:space="preserve">            Long-Term Debt - Other</t>
  </si>
  <si>
    <t xml:space="preserve">            Debt - Cap. Lease Oblig.</t>
  </si>
  <si>
    <t>Liabilities - Other</t>
  </si>
  <si>
    <t>Def. Taxes and Invest.Tax Cred.</t>
  </si>
  <si>
    <t xml:space="preserve">            Deferred Taxes</t>
  </si>
  <si>
    <t xml:space="preserve">            Investment Tax Credit</t>
  </si>
  <si>
    <t>Noncontrolling Interest - Redeemable</t>
  </si>
  <si>
    <t>Liabilities - Total</t>
  </si>
  <si>
    <t>SHAREHOLDERS' EQUITY</t>
  </si>
  <si>
    <t>Preferred Stock - Carrying Value</t>
  </si>
  <si>
    <t xml:space="preserve">            Pref. Stock - Redeemable</t>
  </si>
  <si>
    <t xml:space="preserve">            Pref. Stock - Nonredeemable</t>
  </si>
  <si>
    <t>Common Equity - Total</t>
  </si>
  <si>
    <t xml:space="preserve">            Common Stock</t>
  </si>
  <si>
    <t xml:space="preserve">            Capital Surplus</t>
  </si>
  <si>
    <t xml:space="preserve">            Retained Earnings</t>
  </si>
  <si>
    <t xml:space="preserve">            Less: Treas.Stock - Total $ Amt.</t>
  </si>
  <si>
    <t>Shareholders Equity - Parent</t>
  </si>
  <si>
    <t>Noncontrolling Interest - Nonredeemable</t>
  </si>
  <si>
    <t>Shareholders Equity - Total</t>
  </si>
  <si>
    <t>Total Liabilities and Shareholders Equity</t>
  </si>
  <si>
    <t>Sales (Net)</t>
  </si>
  <si>
    <t>Cost of Goods Sold</t>
  </si>
  <si>
    <t>Selling, General, and Administrative Expense</t>
  </si>
  <si>
    <t>Operating Income Before Depreciation</t>
  </si>
  <si>
    <t>Depreciation and Amortization</t>
  </si>
  <si>
    <t xml:space="preserve">            Amortization of Intangibles</t>
  </si>
  <si>
    <t xml:space="preserve">            Depreciation Expense (Schedule VI)</t>
  </si>
  <si>
    <t xml:space="preserve">            Depletion Expense (Schedule VI)</t>
  </si>
  <si>
    <t>Operating Income After Depreciation</t>
  </si>
  <si>
    <t>Interest Expense</t>
  </si>
  <si>
    <t>Nonoperating Income (Expense)</t>
  </si>
  <si>
    <t xml:space="preserve">            Nonoperating Income (Expense) - Excluding Interest Income</t>
  </si>
  <si>
    <t xml:space="preserve">            Interest Income</t>
  </si>
  <si>
    <t>Special Items</t>
  </si>
  <si>
    <t>Pretax Income</t>
  </si>
  <si>
    <t xml:space="preserve">            Pretax Income - Domestic</t>
  </si>
  <si>
    <t xml:space="preserve">            Pretax Income - Foreign</t>
  </si>
  <si>
    <t>Income Taxes - Total</t>
  </si>
  <si>
    <t xml:space="preserve">            Deferred Taxes (Income Account)</t>
  </si>
  <si>
    <t xml:space="preserve">                        Deferred Taxes - Federal</t>
  </si>
  <si>
    <t xml:space="preserve">                        Deferred Taxes - Foreign</t>
  </si>
  <si>
    <t xml:space="preserve">                        Deferred Taxes - State</t>
  </si>
  <si>
    <t xml:space="preserve">            Income Taxes - Federal</t>
  </si>
  <si>
    <t xml:space="preserve">            Income Taxes - Foreign</t>
  </si>
  <si>
    <t xml:space="preserve">            Income Taxes - State</t>
  </si>
  <si>
    <t xml:space="preserve">            Income Taxes - Other</t>
  </si>
  <si>
    <t>Minority Interest</t>
  </si>
  <si>
    <t>Income Before Extraordinary Items</t>
  </si>
  <si>
    <t>Dividends - Preferred</t>
  </si>
  <si>
    <t>Income Before Extraordinary Items - Available for Common</t>
  </si>
  <si>
    <t>Common Stock Equivalents - Dollar Savings</t>
  </si>
  <si>
    <t>Income Before Extraordinary Items - Adjusted for Common Stock Equivalents</t>
  </si>
  <si>
    <t>Extraordinary Items and Discontinued Operations</t>
  </si>
  <si>
    <t xml:space="preserve">            Extraordinary Items</t>
  </si>
  <si>
    <t xml:space="preserve">            Discounted Operations</t>
  </si>
  <si>
    <t>Net Income Adjusted for Common Stock Equivalents</t>
  </si>
  <si>
    <t>Net Income (Loss)</t>
  </si>
  <si>
    <t>INDIRECT OPERATING ACTIVITIES</t>
  </si>
  <si>
    <t>Deferred Taxes</t>
  </si>
  <si>
    <t>Equity in Net Loss (Earnings)</t>
  </si>
  <si>
    <t>Sale of Property, Plant, and Equipment and Sale of Investments - Loss (Gain)</t>
  </si>
  <si>
    <t>Funds from Operations - Other</t>
  </si>
  <si>
    <t>Accounts Receivable - Decrease (Increase)</t>
  </si>
  <si>
    <t>Inventory - Decrease (Increase)</t>
  </si>
  <si>
    <t>Accounts Payable and Accrued Liabilities - Increase (Decrease)</t>
  </si>
  <si>
    <t>Income Taxes - Accrued - Increase (Decrease)</t>
  </si>
  <si>
    <t>Assets and Liablities - Other (Net Change)</t>
  </si>
  <si>
    <t>Operating Activities - Net Cash Flow</t>
  </si>
  <si>
    <t>INVESTING ACTIVITIES</t>
  </si>
  <si>
    <t>Increase in Investments</t>
  </si>
  <si>
    <t>Sale of Investments</t>
  </si>
  <si>
    <t>Short-Term Investments - Change</t>
  </si>
  <si>
    <t>Capital Expenditures</t>
  </si>
  <si>
    <t>Sale of Property, Plant, and Equipment</t>
  </si>
  <si>
    <t>Acquisitions</t>
  </si>
  <si>
    <t>Investing Activities - Other</t>
  </si>
  <si>
    <t>Investing Activities - Net Cash Flow</t>
  </si>
  <si>
    <t>FINANCING ACTIVITIES</t>
  </si>
  <si>
    <t>Sale of Common and Preferred Stock</t>
  </si>
  <si>
    <t>Purchase of Common and Preferred Stock</t>
  </si>
  <si>
    <t>Cash Dividends</t>
  </si>
  <si>
    <t>Long Term Debt - Issuance</t>
  </si>
  <si>
    <t>Long Term Debt - Reduction</t>
  </si>
  <si>
    <t>Changes in Current Debt</t>
  </si>
  <si>
    <t>Financing Activities - Other</t>
  </si>
  <si>
    <t>Financing Activities - Net Cash Flow</t>
  </si>
  <si>
    <t>Exchange Rate Effect</t>
  </si>
  <si>
    <t>Cash and Cash Equivalents - Increase (Decrease)</t>
  </si>
  <si>
    <t>DIRECT OPERATING ACTIVITIES</t>
  </si>
  <si>
    <t>Interest Paid Net</t>
  </si>
  <si>
    <t>Income Taxes Paid</t>
  </si>
  <si>
    <t>Acquisitions - Income Contribution</t>
  </si>
  <si>
    <t>Acquisitions - Sales Contribution</t>
  </si>
  <si>
    <t>Adjustmnet Factor-Cum, Ex-Date</t>
  </si>
  <si>
    <t>Advertising Expense</t>
  </si>
  <si>
    <t>Average Short Term Borrowing Rate</t>
  </si>
  <si>
    <t>Average Short term Borrowing</t>
  </si>
  <si>
    <t>Common Shareholders (# of)</t>
  </si>
  <si>
    <t>Common Shares Traded (Calendar Yr)</t>
  </si>
  <si>
    <t>Compensating Balance</t>
  </si>
  <si>
    <t>Convertible Debt and Preferred Stock</t>
  </si>
  <si>
    <t>Debt (Long Term) Maturing Due in 2 Years</t>
  </si>
  <si>
    <t>Debt (Long Term) Maturing Due in 3 Years</t>
  </si>
  <si>
    <t>Debt (Long Term) Maturing Due in 4 Years Years</t>
  </si>
  <si>
    <t>Debt (Long Term) Maturing Due in 5 Years</t>
  </si>
  <si>
    <t>Debt - Long-Term Debt - Tied to Prime</t>
  </si>
  <si>
    <t>Debt - Mortgages and Other Securities</t>
  </si>
  <si>
    <t>Debt - Unamortized Debt Discount and Other</t>
  </si>
  <si>
    <t>Dividends (Cash)per Share Ex-Date</t>
  </si>
  <si>
    <t>Dividends (Cash) - Common</t>
  </si>
  <si>
    <t>Dividends (Cash) - Preferred</t>
  </si>
  <si>
    <t>Employees (# of)</t>
  </si>
  <si>
    <t>Equity in Earnings - Unconsolidated Subs</t>
  </si>
  <si>
    <t>Foreign Currency Translation Adj - Bal. Sheet</t>
  </si>
  <si>
    <t>Foreign Currency Translation Adj - Inc. Stmnt.</t>
  </si>
  <si>
    <t>Interest Capitalized (in fiscal yr)</t>
  </si>
  <si>
    <t>Interest Capitalized - Net Income Effect</t>
  </si>
  <si>
    <t>Interest Expense on Long Term Debt</t>
  </si>
  <si>
    <t>Investment Tax Credit</t>
  </si>
  <si>
    <t>Labor Related Expenses</t>
  </si>
  <si>
    <t>LIFO Reserve</t>
  </si>
  <si>
    <t>Order Backlog</t>
  </si>
  <si>
    <t>Preferred Stock - Dividends In Arrears</t>
  </si>
  <si>
    <t>Preferred Stock - Liquidation Value</t>
  </si>
  <si>
    <t>Preferred Stock - Redemption Value</t>
  </si>
  <si>
    <t>Present Value - Noncapitalized Leases</t>
  </si>
  <si>
    <t>Price - Calendar Year Close</t>
  </si>
  <si>
    <t>Price - Calendar Year High</t>
  </si>
  <si>
    <t>Price - Calendar Year Low</t>
  </si>
  <si>
    <t>Price - Fiscal Year Close</t>
  </si>
  <si>
    <t>Receivables - Estimated Doubtful</t>
  </si>
  <si>
    <t>Rental Commitments - Minimum Year+1</t>
  </si>
  <si>
    <t>Rental Commitments - Minimum Year+2</t>
  </si>
  <si>
    <t>Rental Commitments - Minimum Year+3</t>
  </si>
  <si>
    <t>Rental Commitments - Minimum Year+4</t>
  </si>
  <si>
    <t>Rental Commitments - Minimum Year+5</t>
  </si>
  <si>
    <t>Rental Expense</t>
  </si>
  <si>
    <t>Rental Income</t>
  </si>
  <si>
    <t>Research and Development Expense</t>
  </si>
  <si>
    <t>Tax Loss Carry Forward</t>
  </si>
  <si>
    <t>Treasury Stock ($) - Common</t>
  </si>
  <si>
    <t>Treasury Stock ($) - Preferred</t>
  </si>
  <si>
    <t>Treasury Stock - # Shares</t>
  </si>
  <si>
    <t>Receivables - Trade</t>
  </si>
  <si>
    <t>Income Tax Refund</t>
  </si>
  <si>
    <t>Receivables - Other - Current</t>
  </si>
  <si>
    <t>Receivables - Total (Net)</t>
  </si>
  <si>
    <t>Inventories - Raw Materials</t>
  </si>
  <si>
    <t>Inventories - Work In Process</t>
  </si>
  <si>
    <t>Inventories - Finished Goods</t>
  </si>
  <si>
    <t>Inventories - Other</t>
  </si>
  <si>
    <t>LESS: Debt (Long Term) Due In One Year</t>
  </si>
  <si>
    <t>Debt - Convertible Subordinated</t>
  </si>
  <si>
    <t>Debt - Senior Convertible</t>
  </si>
  <si>
    <t>Debt - Subordinated</t>
  </si>
  <si>
    <t>Debt - Notes</t>
  </si>
  <si>
    <t>Debt - Debentures</t>
  </si>
  <si>
    <t>Debt - Long Term - Other</t>
  </si>
  <si>
    <t>Debt - Capitalized Lease Obligations</t>
  </si>
  <si>
    <t>Long Term Debt Total</t>
  </si>
  <si>
    <t>PROPERTY, PLANT AND EQUIPMENT (COST)</t>
  </si>
  <si>
    <t>Beginning Balance</t>
  </si>
  <si>
    <t>Retirements</t>
  </si>
  <si>
    <t>Other Changes</t>
  </si>
  <si>
    <t>Ending Balance</t>
  </si>
  <si>
    <t>ACCUMULATED DEPRECIATION ON PPE</t>
  </si>
  <si>
    <t>Depreciation Expense</t>
  </si>
  <si>
    <t>Depletion Expense</t>
  </si>
  <si>
    <t>Deferred Taxes - Federal</t>
  </si>
  <si>
    <t>Deferred Taxes - Foreign</t>
  </si>
  <si>
    <t>Deferred Taxes - State</t>
  </si>
  <si>
    <t>Income Taxes - Federal</t>
  </si>
  <si>
    <t>Income Taxes - Foreign</t>
  </si>
  <si>
    <t>Income Taxes - State</t>
  </si>
  <si>
    <t>Income Taxes - Other</t>
  </si>
  <si>
    <t>COMMON SHARES RESERVED FOR CONVERSION</t>
  </si>
  <si>
    <t>Convertible Debt</t>
  </si>
  <si>
    <t>Preferred Stock</t>
  </si>
  <si>
    <t>Stock Options</t>
  </si>
  <si>
    <t>Warrants and Other</t>
  </si>
  <si>
    <t>Total</t>
  </si>
  <si>
    <t>Cash &amp; Equivalents</t>
  </si>
  <si>
    <t>Prepaid Expenses</t>
  </si>
  <si>
    <t>Plant, Property &amp; Equip (Gross)</t>
  </si>
  <si>
    <t>Accumulated Depreciation</t>
  </si>
  <si>
    <t>Plant, Property &amp; Equip (Net)</t>
  </si>
  <si>
    <t>Investments at Equity</t>
  </si>
  <si>
    <t>Investments and Advances - Other</t>
  </si>
  <si>
    <t>Deferred Charges</t>
  </si>
  <si>
    <t>TOTAL ASSETS</t>
  </si>
  <si>
    <t>Notes Payable</t>
  </si>
  <si>
    <t>Accrued Expenses</t>
  </si>
  <si>
    <t>Taxes Payable</t>
  </si>
  <si>
    <t>Debt (Long-Term) Due In One Year</t>
  </si>
  <si>
    <t>Other Current Liabilities</t>
  </si>
  <si>
    <t>Total Current Liabilities</t>
  </si>
  <si>
    <t>Long Term Debt</t>
  </si>
  <si>
    <t>Deferred Taxes (Balance Sheet)</t>
  </si>
  <si>
    <t>TOTAL LIABILITIES</t>
  </si>
  <si>
    <t>Common Stock</t>
  </si>
  <si>
    <t>Capital Surplus</t>
  </si>
  <si>
    <t>Retained Earnings (Net Other)</t>
  </si>
  <si>
    <t>Less: Treasury Stock</t>
  </si>
  <si>
    <t>TOTAL SHAREHOLDERS EQUITY</t>
  </si>
  <si>
    <t>Gross Profit</t>
  </si>
  <si>
    <t>Selling, General, &amp; Admin Expenses</t>
  </si>
  <si>
    <t>Depreciation, Depletion, &amp; Amortization</t>
  </si>
  <si>
    <t>Non-Operating Income/Expense</t>
  </si>
  <si>
    <t>INCOME BEFORE EI&amp;DO</t>
  </si>
  <si>
    <t>Extraordinary Items</t>
  </si>
  <si>
    <t>Discontinued Operations</t>
  </si>
  <si>
    <t>Preferred Dividends</t>
  </si>
  <si>
    <t>EPS - Primary - Excluding EI&amp;DO</t>
  </si>
  <si>
    <t>EPS - Primary - Including EI&amp;DO</t>
  </si>
  <si>
    <t>EPS - Fully Diluted - Excluding EI&amp;DO</t>
  </si>
  <si>
    <t>EPS - Fully Diluted - Including EI&amp;DO</t>
  </si>
  <si>
    <t>SHARES - for Primary EPS Calculation</t>
  </si>
  <si>
    <t>STATEMENT OF CASH FLOWS</t>
  </si>
  <si>
    <t>SHARES - for Fully Diluted EPS Calculation</t>
  </si>
  <si>
    <t>SHARES - Outstanding at Fiscal Year End</t>
  </si>
  <si>
    <t>Sale of Property Plant and Equipment</t>
  </si>
  <si>
    <t>Investing Activites - Net Cash Flow</t>
  </si>
  <si>
    <t>CASH STATEMENT - SOURCE &amp; USE</t>
  </si>
  <si>
    <t>Interest Paid - Net</t>
  </si>
  <si>
    <t>Funds From Operations - Total</t>
  </si>
  <si>
    <t>Current Debt - Changes</t>
  </si>
  <si>
    <t>Working Capital Changes - Other - Inc(Dec)</t>
  </si>
  <si>
    <t>INPUTS INTO FINANCIAL STATEMENT</t>
  </si>
  <si>
    <t>ADDITIONAL DATA</t>
  </si>
  <si>
    <t>ADDITIONAL SCHEDULES</t>
  </si>
  <si>
    <t>INCOME STATEMENT</t>
  </si>
  <si>
    <t>Unlevered net income = (Revenues - Costs - Depreciation) * (1 – tax rate)</t>
  </si>
  <si>
    <t xml:space="preserve">Revenues </t>
  </si>
  <si>
    <t>COGS</t>
  </si>
  <si>
    <t>SG&amp;A</t>
  </si>
  <si>
    <t xml:space="preserve">Depreciation &amp; Amortization </t>
  </si>
  <si>
    <t>EBITDA/Sales Profit Margin</t>
  </si>
  <si>
    <t>Operating Cash Flow</t>
  </si>
  <si>
    <t>( - ) Accounts Receivables</t>
  </si>
  <si>
    <t>( - ) Inventory</t>
  </si>
  <si>
    <t>( + ) Accounts Payable</t>
  </si>
  <si>
    <t>( + ) Net Income</t>
  </si>
  <si>
    <t>( + ) Depreciation</t>
  </si>
  <si>
    <t xml:space="preserve">∆ Accounts Receivables </t>
  </si>
  <si>
    <t>∆ Inventory</t>
  </si>
  <si>
    <t xml:space="preserve">∆ Accounts Payable </t>
  </si>
  <si>
    <t>( - ) Capital Expenditures</t>
  </si>
  <si>
    <t>NWC</t>
  </si>
  <si>
    <r>
      <rPr>
        <b/>
        <sz val="10"/>
        <rFont val="Aptos Narrow"/>
        <family val="2"/>
      </rPr>
      <t>∆</t>
    </r>
    <r>
      <rPr>
        <b/>
        <sz val="13"/>
        <rFont val="Arial"/>
        <family val="2"/>
      </rPr>
      <t>NWC</t>
    </r>
  </si>
  <si>
    <t>Revenues in Year 1 (6%)</t>
  </si>
  <si>
    <t>Revenues in Year 1 (2%)</t>
  </si>
  <si>
    <t>Revenues in Year 1 (7%)</t>
  </si>
  <si>
    <t>Financial Statement for: MICROSOFT CORP</t>
  </si>
  <si>
    <t>NOTE TO SELF *** Operating income before depreciation can be used as EBITDA) revenues - COGS and SG&amp;A***</t>
  </si>
  <si>
    <r>
      <t xml:space="preserve">NOTE TO SELF *** Operating income before depreciation can be used as </t>
    </r>
    <r>
      <rPr>
        <b/>
        <sz val="10"/>
        <rFont val="Arial"/>
        <family val="2"/>
      </rPr>
      <t>EBITDA</t>
    </r>
    <r>
      <rPr>
        <sz val="10"/>
        <rFont val="Arial"/>
        <family val="2"/>
      </rPr>
      <t>) revenues - COGS and SG&amp;A***</t>
    </r>
  </si>
  <si>
    <r>
      <t xml:space="preserve">Operating Income Before Depreciation = </t>
    </r>
    <r>
      <rPr>
        <b/>
        <sz val="10"/>
        <rFont val="Arial"/>
        <family val="2"/>
      </rPr>
      <t>EBITDA</t>
    </r>
  </si>
  <si>
    <t>FCF is: Free Cash Flow = Unlevered net income + Depreciation - CapEx - Changes in NWC</t>
  </si>
  <si>
    <t>CapEx</t>
  </si>
  <si>
    <t>3MA</t>
  </si>
  <si>
    <t>Fiscal Years: 2018 to 2024</t>
  </si>
  <si>
    <t xml:space="preserve">Revenue </t>
  </si>
  <si>
    <t>Year over Year Revenue Growth</t>
  </si>
  <si>
    <t>Average Rate of Growth</t>
  </si>
  <si>
    <t>Unlevered Net Income also = (EBITDA - Depreciation)*(1-Tax Rate)</t>
  </si>
  <si>
    <t xml:space="preserve">Alternative Profitability based off industry standard </t>
  </si>
  <si>
    <t xml:space="preserve">Based on research that was conducted and real-world analogs, a total project cost of $14 billion </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</si>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</sst>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164" formatCode="###,###,##0.000"/>
    <numFmt numFmtId="165" formatCode="General_)"/>
    <numFmt numFmtId="166" formatCode="#,##0.000"/>
    <numFmt numFmtId="167" formatCode="###,###,##0"/>
    <numFmt numFmtId="168" formatCode="&quot;$&quot;#,##0"/>
  </numFmts>
  <fonts count="21" x14ac:knownFonts="1">
    <font>
      <sz val="10"/>
      <name val="Arial"/>
      <charset val="1"/>
    </font>
    <font>
      <sz val="11"/>
      <color theme="1"/>
      <name val="Calibri"/>
      <family val="2"/>
      <scheme val="minor"/>
    </font>
    <font>
      <sz val="10"/>
      <name val="Arial"/>
      <family val="2"/>
    </font>
    <font>
      <b/>
      <sz val="10"/>
      <name val="Arial"/>
      <family val="2"/>
    </font>
    <font>
      <sz val="11"/>
      <color theme="1"/>
      <name val="Calibri"/>
      <family val="2"/>
      <scheme val="minor"/>
    </font>
    <font>
      <b/>
      <sz val="11"/>
      <color theme="1"/>
      <name val="Calibri"/>
      <family val="2"/>
      <scheme val="minor"/>
    </font>
    <font>
      <sz val="11"/>
      <color rgb="FFFF0000"/>
      <name val="Calibri"/>
      <family val="2"/>
      <scheme val="minor"/>
    </font>
    <font>
      <b/>
      <sz val="11"/>
      <name val="Calibri"/>
      <family val="2"/>
      <scheme val="minor"/>
    </font>
    <font>
      <sz val="11"/>
      <name val="Calibri"/>
      <family val="2"/>
      <scheme val="minor"/>
    </font>
    <font>
      <sz val="11"/>
      <color rgb="FF0000FF"/>
      <name val="Calibri"/>
      <family val="2"/>
      <scheme val="minor"/>
    </font>
    <font>
      <b/>
      <sz val="11"/>
      <color rgb="FFFF0000"/>
      <name val="Calibri"/>
      <family val="2"/>
      <scheme val="minor"/>
    </font>
    <font>
      <b/>
      <u/>
      <sz val="11"/>
      <name val="Calibri"/>
      <family val="2"/>
      <scheme val="minor"/>
    </font>
    <font>
      <sz val="10"/>
      <name val="Calibri"/>
      <family val="2"/>
      <scheme val="minor"/>
    </font>
    <font>
      <b/>
      <sz val="12"/>
      <color rgb="FFFF0000"/>
      <name val="Calibri"/>
      <family val="2"/>
      <scheme val="minor"/>
    </font>
    <font>
      <sz val="11"/>
      <color rgb="FF000000"/>
      <name val="Calibri"/>
      <family val="2"/>
    </font>
    <font>
      <b/>
      <sz val="10"/>
      <name val="Arial"/>
      <family val="2"/>
    </font>
    <font>
      <sz val="10"/>
      <name val="Arial"/>
      <family val="2"/>
    </font>
    <font>
      <sz val="8"/>
      <name val="Arial"/>
      <family val="2"/>
    </font>
    <font>
      <sz val="10"/>
      <name val="Aptos Narrow"/>
      <family val="2"/>
    </font>
    <font>
      <b/>
      <sz val="10"/>
      <name val="Aptos Narrow"/>
      <family val="2"/>
    </font>
    <font>
      <b/>
      <sz val="13"/>
      <name val="Arial"/>
      <family val="2"/>
    </font>
  </fonts>
  <fills count="4">
    <fill>
      <patternFill patternType="none"/>
    </fill>
    <fill>
      <patternFill patternType="gray125"/>
    </fill>
    <fill>
      <patternFill patternType="solid">
        <fgColor indexed="22"/>
      </patternFill>
    </fill>
    <fill>
      <patternFill patternType="solid">
        <fgColor rgb="FFFFFF00"/>
        <bgColor indexed="64"/>
      </patternFill>
    </fill>
  </fills>
  <borders count="7">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right/>
      <top style="thin">
        <color indexed="64"/>
      </top>
      <bottom style="thin">
        <color indexed="64"/>
      </bottom>
      <diagonal/>
    </border>
  </borders>
  <cellStyleXfs count="3">
    <xf numFmtId="0" fontId="0" fillId="0" borderId="0" applyNumberFormat="0" applyFill="0" applyBorder="0" applyAlignment="0" applyProtection="0"/>
    <xf numFmtId="0" fontId="4" fillId="0" borderId="0"/>
    <xf numFmtId="9" fontId="2" fillId="0" borderId="0" applyFont="0" applyFill="0" applyBorder="0" applyAlignment="0" applyProtection="0"/>
  </cellStyleXfs>
  <cellXfs count="117">
    <xf numFmtId="0" fontId="0" fillId="0" borderId="0" xfId="0"/>
    <xf numFmtId="0" fontId="3" fillId="0" borderId="0" xfId="0" applyFont="1" applyFill="1" applyBorder="1" applyAlignment="1" applyProtection="1"/>
    <xf numFmtId="0" fontId="7" fillId="0" borderId="0" xfId="0" applyFont="1"/>
    <xf numFmtId="0" fontId="8" fillId="0" borderId="0" xfId="0" applyFont="1"/>
    <xf numFmtId="37" fontId="5" fillId="0" borderId="1" xfId="0" applyNumberFormat="1" applyFont="1" applyBorder="1" applyProtection="1"/>
    <xf numFmtId="37" fontId="8" fillId="0" borderId="1" xfId="0" applyNumberFormat="1" applyFont="1" applyBorder="1" applyProtection="1"/>
    <xf numFmtId="0" fontId="8" fillId="0" borderId="0" xfId="0" applyFont="1" applyBorder="1" applyProtection="1"/>
    <xf numFmtId="0" fontId="8" fillId="0" borderId="0" xfId="0" applyFont="1" applyProtection="1"/>
    <xf numFmtId="37" fontId="8" fillId="0" borderId="2" xfId="0" applyNumberFormat="1" applyFont="1" applyBorder="1" applyProtection="1"/>
    <xf numFmtId="0" fontId="8" fillId="0" borderId="0" xfId="0" applyFont="1" applyBorder="1"/>
    <xf numFmtId="37" fontId="8" fillId="0" borderId="0" xfId="0" applyNumberFormat="1" applyFont="1" applyBorder="1" applyProtection="1"/>
    <xf numFmtId="37" fontId="8" fillId="0" borderId="0" xfId="0" applyNumberFormat="1" applyFont="1" applyFill="1" applyBorder="1" applyProtection="1"/>
    <xf numFmtId="0" fontId="9" fillId="0" borderId="0" xfId="0" applyNumberFormat="1" applyFont="1" applyBorder="1" applyProtection="1"/>
    <xf numFmtId="9" fontId="8" fillId="0" borderId="0" xfId="0" applyNumberFormat="1" applyFont="1" applyFill="1" applyBorder="1" applyProtection="1"/>
    <xf numFmtId="10" fontId="8" fillId="0" borderId="0" xfId="0" applyNumberFormat="1" applyFont="1" applyBorder="1" applyProtection="1"/>
    <xf numFmtId="0" fontId="4" fillId="0" borderId="0" xfId="0" applyNumberFormat="1" applyFont="1" applyBorder="1" applyProtection="1"/>
    <xf numFmtId="37" fontId="8" fillId="0" borderId="0" xfId="0" applyNumberFormat="1" applyFont="1" applyProtection="1"/>
    <xf numFmtId="0" fontId="9" fillId="0" borderId="0" xfId="0" applyNumberFormat="1" applyFont="1" applyFill="1" applyBorder="1" applyProtection="1"/>
    <xf numFmtId="9" fontId="8" fillId="0" borderId="0" xfId="0" applyNumberFormat="1" applyFont="1"/>
    <xf numFmtId="9" fontId="8" fillId="0" borderId="0" xfId="0" applyNumberFormat="1" applyFont="1" applyProtection="1"/>
    <xf numFmtId="0" fontId="10" fillId="0" borderId="0" xfId="0" applyFont="1" applyBorder="1" applyAlignment="1">
      <alignment vertical="top"/>
    </xf>
    <xf numFmtId="9" fontId="8" fillId="0" borderId="0" xfId="0" applyNumberFormat="1" applyFont="1" applyBorder="1" applyProtection="1"/>
    <xf numFmtId="165" fontId="8" fillId="0" borderId="0" xfId="1" applyNumberFormat="1" applyFont="1" applyAlignment="1">
      <alignment horizontal="left" vertical="top"/>
    </xf>
    <xf numFmtId="9" fontId="8" fillId="0" borderId="0" xfId="0" applyNumberFormat="1" applyFont="1" applyBorder="1"/>
    <xf numFmtId="0" fontId="7" fillId="0" borderId="0" xfId="0" applyFont="1" applyAlignment="1" applyProtection="1">
      <alignment horizontal="right"/>
    </xf>
    <xf numFmtId="0" fontId="7" fillId="0" borderId="1" xfId="0" applyFont="1" applyBorder="1" applyProtection="1"/>
    <xf numFmtId="37" fontId="7" fillId="0" borderId="1" xfId="0" applyNumberFormat="1" applyFont="1" applyBorder="1" applyAlignment="1">
      <alignment horizontal="right"/>
    </xf>
    <xf numFmtId="37" fontId="7" fillId="0" borderId="1" xfId="0" applyNumberFormat="1" applyFont="1" applyBorder="1" applyAlignment="1" applyProtection="1">
      <alignment horizontal="right"/>
    </xf>
    <xf numFmtId="3" fontId="8" fillId="0" borderId="2" xfId="0" applyNumberFormat="1" applyFont="1" applyBorder="1" applyAlignment="1">
      <alignment horizontal="right" vertical="top"/>
    </xf>
    <xf numFmtId="3" fontId="8" fillId="0" borderId="2" xfId="0" applyNumberFormat="1" applyFont="1" applyBorder="1" applyAlignment="1" applyProtection="1">
      <alignment horizontal="right" vertical="top"/>
    </xf>
    <xf numFmtId="3" fontId="8" fillId="0" borderId="0" xfId="0" applyNumberFormat="1" applyFont="1" applyBorder="1" applyAlignment="1">
      <alignment horizontal="right" vertical="top"/>
    </xf>
    <xf numFmtId="3" fontId="8" fillId="0" borderId="0" xfId="0" applyNumberFormat="1" applyFont="1" applyBorder="1" applyAlignment="1" applyProtection="1">
      <alignment horizontal="right" vertical="top"/>
    </xf>
    <xf numFmtId="3" fontId="8" fillId="0" borderId="0" xfId="0" applyNumberFormat="1" applyFont="1" applyAlignment="1" applyProtection="1">
      <alignment horizontal="right" vertical="top"/>
    </xf>
    <xf numFmtId="37" fontId="11" fillId="0" borderId="0" xfId="0" applyNumberFormat="1" applyFont="1" applyBorder="1" applyAlignment="1" applyProtection="1">
      <alignment horizontal="left"/>
    </xf>
    <xf numFmtId="0" fontId="11" fillId="0" borderId="0" xfId="0" applyFont="1" applyBorder="1" applyProtection="1"/>
    <xf numFmtId="0" fontId="7" fillId="0" borderId="0" xfId="0" applyFont="1" applyBorder="1" applyProtection="1"/>
    <xf numFmtId="166" fontId="8" fillId="0" borderId="0" xfId="0" applyNumberFormat="1" applyFont="1" applyBorder="1" applyAlignment="1" applyProtection="1">
      <alignment horizontal="right" vertical="top"/>
    </xf>
    <xf numFmtId="0" fontId="7" fillId="0" borderId="0" xfId="0" applyFont="1" applyProtection="1"/>
    <xf numFmtId="3" fontId="7" fillId="3" borderId="3" xfId="0" applyNumberFormat="1" applyFont="1" applyFill="1" applyBorder="1" applyAlignment="1" applyProtection="1">
      <alignment horizontal="right" vertical="top"/>
    </xf>
    <xf numFmtId="3" fontId="8" fillId="0" borderId="0" xfId="0" applyNumberFormat="1" applyFont="1" applyAlignment="1">
      <alignment horizontal="right" vertical="top"/>
    </xf>
    <xf numFmtId="3" fontId="8" fillId="0" borderId="0" xfId="0" applyNumberFormat="1" applyFont="1"/>
    <xf numFmtId="3" fontId="8" fillId="0" borderId="0" xfId="0" applyNumberFormat="1" applyFont="1" applyProtection="1"/>
    <xf numFmtId="39" fontId="8" fillId="0" borderId="0" xfId="0" applyNumberFormat="1" applyFont="1" applyProtection="1"/>
    <xf numFmtId="0" fontId="7" fillId="0" borderId="0" xfId="0" applyFont="1" applyBorder="1" applyAlignment="1" applyProtection="1"/>
    <xf numFmtId="10" fontId="7" fillId="0" borderId="0" xfId="0" applyNumberFormat="1" applyFont="1" applyBorder="1" applyProtection="1"/>
    <xf numFmtId="166" fontId="0" fillId="0" borderId="0" xfId="0" applyNumberFormat="1"/>
    <xf numFmtId="165" fontId="8" fillId="0" borderId="0" xfId="1" applyNumberFormat="1" applyFont="1" applyAlignment="1">
      <alignment horizontal="left" vertical="center"/>
    </xf>
    <xf numFmtId="10" fontId="9" fillId="0" borderId="0" xfId="0" applyNumberFormat="1" applyFont="1" applyBorder="1"/>
    <xf numFmtId="0" fontId="4" fillId="0" borderId="0" xfId="0" applyFont="1" applyBorder="1"/>
    <xf numFmtId="10" fontId="4" fillId="0" borderId="0" xfId="0" applyNumberFormat="1" applyFont="1" applyBorder="1" applyAlignment="1" applyProtection="1"/>
    <xf numFmtId="9" fontId="9" fillId="0" borderId="0" xfId="0" applyNumberFormat="1" applyFont="1" applyBorder="1" applyProtection="1"/>
    <xf numFmtId="9" fontId="9" fillId="0" borderId="0" xfId="0" applyNumberFormat="1" applyFont="1" applyBorder="1"/>
    <xf numFmtId="3" fontId="9" fillId="0" borderId="0" xfId="0" applyNumberFormat="1" applyFont="1" applyFill="1" applyBorder="1" applyProtection="1"/>
    <xf numFmtId="10" fontId="4" fillId="0" borderId="0" xfId="0" applyNumberFormat="1" applyFont="1" applyFill="1" applyBorder="1" applyProtection="1"/>
    <xf numFmtId="41" fontId="8" fillId="0" borderId="0" xfId="0" applyNumberFormat="1" applyFont="1" applyBorder="1" applyAlignment="1" applyProtection="1">
      <alignment horizontal="right" vertical="top"/>
    </xf>
    <xf numFmtId="0" fontId="12" fillId="0" borderId="0" xfId="0" applyFont="1"/>
    <xf numFmtId="10" fontId="13" fillId="0" borderId="0" xfId="0" applyNumberFormat="1" applyFont="1" applyFill="1" applyBorder="1" applyProtection="1"/>
    <xf numFmtId="0" fontId="7" fillId="0" borderId="0" xfId="0" applyFont="1" applyAlignment="1">
      <alignment vertical="top" wrapText="1"/>
    </xf>
    <xf numFmtId="37" fontId="10" fillId="0" borderId="0" xfId="0" applyNumberFormat="1" applyFont="1" applyAlignment="1" applyProtection="1">
      <alignment vertical="top" wrapText="1"/>
    </xf>
    <xf numFmtId="0" fontId="7" fillId="0" borderId="0" xfId="0" applyFont="1" applyBorder="1"/>
    <xf numFmtId="0" fontId="7" fillId="0" borderId="4" xfId="0" applyFont="1" applyBorder="1"/>
    <xf numFmtId="0" fontId="8" fillId="0" borderId="5" xfId="0" applyFont="1" applyBorder="1" applyProtection="1"/>
    <xf numFmtId="0" fontId="8" fillId="0" borderId="4" xfId="0" applyFont="1" applyBorder="1" applyProtection="1"/>
    <xf numFmtId="0" fontId="3" fillId="2" borderId="0" xfId="0" applyFont="1" applyFill="1" applyBorder="1" applyAlignment="1" applyProtection="1"/>
    <xf numFmtId="0" fontId="2" fillId="0" borderId="0" xfId="0" applyFont="1" applyFill="1" applyBorder="1" applyAlignment="1" applyProtection="1"/>
    <xf numFmtId="164" fontId="2" fillId="0" borderId="0" xfId="0" applyNumberFormat="1" applyFont="1" applyFill="1" applyBorder="1" applyAlignment="1" applyProtection="1"/>
    <xf numFmtId="0" fontId="14" fillId="0" borderId="2" xfId="0" applyFont="1" applyBorder="1" applyAlignment="1">
      <alignment vertical="center" wrapText="1"/>
    </xf>
    <xf numFmtId="0" fontId="6" fillId="0" borderId="0" xfId="0" applyFont="1"/>
    <xf numFmtId="0" fontId="16" fillId="0" borderId="0" xfId="0" applyFont="1"/>
    <xf numFmtId="0" fontId="2" fillId="0" borderId="0" xfId="0" applyFont="1" applyFill="1" applyBorder="1" applyAlignment="1" applyProtection="1">
      <alignment wrapText="1"/>
    </xf>
    <xf numFmtId="10" fontId="0" fillId="0" borderId="0" xfId="2" applyNumberFormat="1" applyFont="1"/>
    <xf numFmtId="0" fontId="15" fillId="0" borderId="0" xfId="0" applyFont="1" applyAlignment="1">
      <alignment horizontal="center"/>
    </xf>
    <xf numFmtId="0" fontId="18" fillId="0" borderId="1" xfId="0" applyFont="1" applyBorder="1"/>
    <xf numFmtId="164" fontId="2" fillId="0" borderId="1" xfId="0" applyNumberFormat="1" applyFont="1" applyFill="1" applyBorder="1" applyAlignment="1" applyProtection="1"/>
    <xf numFmtId="0" fontId="16" fillId="0" borderId="1" xfId="0" applyFont="1" applyBorder="1"/>
    <xf numFmtId="0" fontId="0" fillId="0" borderId="1" xfId="0" applyBorder="1"/>
    <xf numFmtId="166" fontId="0" fillId="0" borderId="1" xfId="0" applyNumberFormat="1" applyBorder="1"/>
    <xf numFmtId="164" fontId="0" fillId="0" borderId="0" xfId="0" applyNumberFormat="1"/>
    <xf numFmtId="4" fontId="0" fillId="0" borderId="0" xfId="0" applyNumberFormat="1"/>
    <xf numFmtId="166" fontId="16" fillId="0" borderId="0" xfId="0" applyNumberFormat="1" applyFont="1" applyAlignment="1">
      <alignment horizontal="center"/>
    </xf>
    <xf numFmtId="0" fontId="15" fillId="0" borderId="1" xfId="0" applyFont="1" applyBorder="1" applyAlignment="1">
      <alignment horizontal="center"/>
    </xf>
    <xf numFmtId="0" fontId="3" fillId="0" borderId="1" xfId="0" applyFont="1" applyFill="1" applyBorder="1" applyAlignment="1" applyProtection="1"/>
    <xf numFmtId="4" fontId="9" fillId="0" borderId="0" xfId="0" applyNumberFormat="1" applyFont="1" applyFill="1" applyBorder="1" applyProtection="1"/>
    <xf numFmtId="4" fontId="4" fillId="0" borderId="0" xfId="0" applyNumberFormat="1" applyFont="1" applyBorder="1" applyProtection="1"/>
    <xf numFmtId="4" fontId="8" fillId="0" borderId="2" xfId="0" applyNumberFormat="1" applyFont="1" applyBorder="1" applyAlignment="1" applyProtection="1">
      <alignment horizontal="right" vertical="top"/>
    </xf>
    <xf numFmtId="4" fontId="8" fillId="0" borderId="0" xfId="0" applyNumberFormat="1" applyFont="1" applyBorder="1" applyAlignment="1" applyProtection="1">
      <alignment horizontal="right" vertical="top"/>
    </xf>
    <xf numFmtId="4" fontId="7" fillId="3" borderId="3" xfId="0" applyNumberFormat="1" applyFont="1" applyFill="1" applyBorder="1" applyAlignment="1" applyProtection="1">
      <alignment horizontal="right" vertical="top"/>
    </xf>
    <xf numFmtId="39" fontId="7" fillId="3" borderId="0" xfId="0" applyNumberFormat="1" applyFont="1" applyFill="1" applyBorder="1" applyProtection="1"/>
    <xf numFmtId="0" fontId="15" fillId="0" borderId="0" xfId="0" applyFont="1" applyFill="1" applyBorder="1" applyAlignment="1" applyProtection="1"/>
    <xf numFmtId="0" fontId="15" fillId="2" borderId="0" xfId="0" applyFont="1" applyFill="1" applyBorder="1" applyAlignment="1" applyProtection="1"/>
    <xf numFmtId="0" fontId="16" fillId="0" borderId="0" xfId="0" applyFont="1" applyFill="1" applyBorder="1" applyAlignment="1" applyProtection="1"/>
    <xf numFmtId="164" fontId="16" fillId="0" borderId="0" xfId="0" applyNumberFormat="1" applyFont="1" applyFill="1" applyBorder="1" applyAlignment="1" applyProtection="1"/>
    <xf numFmtId="0" fontId="16" fillId="0" borderId="0" xfId="0" applyFont="1" applyFill="1" applyBorder="1" applyAlignment="1" applyProtection="1">
      <alignment wrapText="1"/>
    </xf>
    <xf numFmtId="0" fontId="0" fillId="0" borderId="6" xfId="0" applyBorder="1"/>
    <xf numFmtId="0" fontId="16" fillId="3" borderId="0" xfId="0" applyFont="1" applyFill="1" applyBorder="1" applyAlignment="1" applyProtection="1"/>
    <xf numFmtId="164" fontId="16" fillId="3" borderId="0" xfId="0" applyNumberFormat="1" applyFont="1" applyFill="1" applyBorder="1" applyAlignment="1" applyProtection="1"/>
    <xf numFmtId="166" fontId="0" fillId="0" borderId="6" xfId="0" applyNumberFormat="1" applyBorder="1"/>
    <xf numFmtId="0" fontId="0" fillId="0" borderId="0" xfId="0" applyAlignment="1"/>
    <xf numFmtId="0" fontId="16" fillId="0" borderId="1" xfId="0" applyFont="1" applyBorder="1" applyAlignment="1"/>
    <xf numFmtId="0" fontId="15" fillId="0" borderId="0" xfId="0" applyFont="1"/>
    <xf numFmtId="0" fontId="15" fillId="0" borderId="0" xfId="0" applyNumberFormat="1" applyFont="1" applyFill="1" applyBorder="1" applyAlignment="1" applyProtection="1"/>
    <xf numFmtId="0" fontId="15" fillId="0" borderId="0" xfId="0" applyNumberFormat="1" applyFont="1" applyFill="1"/>
    <xf numFmtId="0" fontId="15" fillId="0" borderId="1" xfId="0" applyFont="1" applyBorder="1"/>
    <xf numFmtId="0" fontId="15" fillId="0" borderId="0" xfId="0" applyNumberFormat="1" applyFont="1"/>
    <xf numFmtId="1" fontId="0" fillId="0" borderId="0" xfId="0" applyNumberFormat="1"/>
    <xf numFmtId="168" fontId="0" fillId="0" borderId="0" xfId="0" applyNumberFormat="1"/>
    <xf numFmtId="167" fontId="16" fillId="0" borderId="0" xfId="0" applyNumberFormat="1" applyFont="1" applyFill="1" applyBorder="1" applyAlignment="1" applyProtection="1"/>
    <xf numFmtId="1" fontId="16" fillId="0" borderId="0" xfId="0" applyNumberFormat="1" applyFont="1" applyFill="1" applyBorder="1" applyAlignment="1" applyProtection="1"/>
    <xf numFmtId="166" fontId="15" fillId="0" borderId="0" xfId="0" applyNumberFormat="1" applyFont="1"/>
    <xf numFmtId="0" fontId="15" fillId="0" borderId="1" xfId="0" applyFont="1" applyBorder="1" applyAlignment="1"/>
    <xf numFmtId="10" fontId="9" fillId="0" borderId="0" xfId="2" applyNumberFormat="1" applyFont="1" applyFill="1" applyBorder="1" applyProtection="1"/>
    <xf numFmtId="10" fontId="9" fillId="0" borderId="0" xfId="0" applyNumberFormat="1" applyFont="1" applyBorder="1" applyProtection="1"/>
    <xf numFmtId="10" fontId="6" fillId="0" borderId="0" xfId="0" applyNumberFormat="1" applyFont="1" applyBorder="1"/>
    <xf numFmtId="0" fontId="1" fillId="0" borderId="0" xfId="0" applyNumberFormat="1" applyFont="1" applyBorder="1" applyProtection="1"/>
    <xf numFmtId="0" fontId="6" fillId="0" borderId="0" xfId="0" applyFont="1" applyAlignment="1">
      <alignment horizontal="left" vertical="top" wrapText="1"/>
    </xf>
    <xf numFmtId="0" fontId="15" fillId="0" borderId="1" xfId="0" applyFont="1" applyBorder="1" applyAlignment="1">
      <alignment horizontal="center"/>
    </xf>
    <xf numFmtId="0" fontId="15" fillId="0" borderId="0" xfId="0" applyFont="1" applyAlignment="1">
      <alignment horizontal="center"/>
    </xf>
  </cellXfs>
  <cellStyles count="3">
    <cellStyle name="Normal" xfId="0" builtinId="0"/>
    <cellStyle name="Normal 2" xfId="1" xr:uid="{6455FFEC-96A4-421B-9E11-2BD5E16CB63B}"/>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CapEx</a:t>
            </a:r>
            <a:r>
              <a:rPr lang="en-US" baseline="0"/>
              <a:t> </a:t>
            </a:r>
            <a:r>
              <a:rPr lang="en-US"/>
              <a:t>Trailing Moving Average (3MA)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SMA!$T$17</c:f>
              <c:strCache>
                <c:ptCount val="1"/>
                <c:pt idx="0">
                  <c:v>CapEx</c:v>
                </c:pt>
              </c:strCache>
            </c:strRef>
          </c:tx>
          <c:spPr>
            <a:solidFill>
              <a:schemeClr val="accent2"/>
            </a:solidFill>
            <a:ln>
              <a:noFill/>
            </a:ln>
            <a:effectLst/>
          </c:spPr>
          <c:invertIfNegative val="0"/>
          <c:cat>
            <c:numRef>
              <c:f>SMA!$S$18:$S$22</c:f>
              <c:numCache>
                <c:formatCode>General</c:formatCode>
                <c:ptCount val="5"/>
                <c:pt idx="0">
                  <c:v>2020</c:v>
                </c:pt>
                <c:pt idx="1">
                  <c:v>2021</c:v>
                </c:pt>
                <c:pt idx="2">
                  <c:v>2022</c:v>
                </c:pt>
                <c:pt idx="3">
                  <c:v>2023</c:v>
                </c:pt>
                <c:pt idx="4">
                  <c:v>2024</c:v>
                </c:pt>
              </c:numCache>
            </c:numRef>
          </c:cat>
          <c:val>
            <c:numRef>
              <c:f>SMA!$T$18:$T$22</c:f>
              <c:numCache>
                <c:formatCode>0</c:formatCode>
                <c:ptCount val="5"/>
                <c:pt idx="0">
                  <c:v>15441000000</c:v>
                </c:pt>
                <c:pt idx="1">
                  <c:v>20622000000</c:v>
                </c:pt>
                <c:pt idx="2">
                  <c:v>23886000000</c:v>
                </c:pt>
                <c:pt idx="3">
                  <c:v>28107000000</c:v>
                </c:pt>
                <c:pt idx="4">
                  <c:v>44477000000</c:v>
                </c:pt>
              </c:numCache>
            </c:numRef>
          </c:val>
          <c:extLst>
            <c:ext xmlns:c16="http://schemas.microsoft.com/office/drawing/2014/chart" uri="{C3380CC4-5D6E-409C-BE32-E72D297353CC}">
              <c16:uniqueId val="{00000001-22BA-4E38-A031-F15A8C1C1A57}"/>
            </c:ext>
          </c:extLst>
        </c:ser>
        <c:dLbls>
          <c:showLegendKey val="0"/>
          <c:showVal val="0"/>
          <c:showCatName val="0"/>
          <c:showSerName val="0"/>
          <c:showPercent val="0"/>
          <c:showBubbleSize val="0"/>
        </c:dLbls>
        <c:gapWidth val="150"/>
        <c:axId val="1556828592"/>
        <c:axId val="1556824752"/>
      </c:barChart>
      <c:lineChart>
        <c:grouping val="standard"/>
        <c:varyColors val="0"/>
        <c:ser>
          <c:idx val="2"/>
          <c:order val="1"/>
          <c:tx>
            <c:strRef>
              <c:f>SMA!$U$17</c:f>
              <c:strCache>
                <c:ptCount val="1"/>
                <c:pt idx="0">
                  <c:v>3MA</c:v>
                </c:pt>
              </c:strCache>
            </c:strRef>
          </c:tx>
          <c:spPr>
            <a:ln w="28575" cap="rnd">
              <a:solidFill>
                <a:schemeClr val="accent3"/>
              </a:solidFill>
              <a:round/>
            </a:ln>
            <a:effectLst/>
          </c:spPr>
          <c:marker>
            <c:symbol val="none"/>
          </c:marker>
          <c:dLbls>
            <c:dLbl>
              <c:idx val="0"/>
              <c:tx>
                <c:rich>
                  <a:bodyPr/>
                  <a:lstStyle/>
                  <a:p>
                    <a:r>
                      <a:rPr lang="en-US" baseline="0"/>
                      <a:t> </a:t>
                    </a:r>
                    <a:fld id="{1FCEB10C-EE88-4A4D-AF9C-6CB6A587BBB1}"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22BA-4E38-A031-F15A8C1C1A57}"/>
                </c:ext>
              </c:extLst>
            </c:dLbl>
            <c:dLbl>
              <c:idx val="1"/>
              <c:delete val="1"/>
              <c:extLst>
                <c:ext xmlns:c15="http://schemas.microsoft.com/office/drawing/2012/chart" uri="{CE6537A1-D6FC-4f65-9D91-7224C49458BB}"/>
                <c:ext xmlns:c16="http://schemas.microsoft.com/office/drawing/2014/chart" uri="{C3380CC4-5D6E-409C-BE32-E72D297353CC}">
                  <c16:uniqueId val="{00000003-22BA-4E38-A031-F15A8C1C1A57}"/>
                </c:ext>
              </c:extLst>
            </c:dLbl>
            <c:dLbl>
              <c:idx val="2"/>
              <c:tx>
                <c:rich>
                  <a:bodyPr/>
                  <a:lstStyle/>
                  <a:p>
                    <a:r>
                      <a:rPr lang="en-US" baseline="0"/>
                      <a:t> </a:t>
                    </a:r>
                    <a:fld id="{FE0C6426-429E-4C56-A3F8-3B634B4F17D5}"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22BA-4E38-A031-F15A8C1C1A57}"/>
                </c:ext>
              </c:extLst>
            </c:dLbl>
            <c:dLbl>
              <c:idx val="3"/>
              <c:delete val="1"/>
              <c:extLst>
                <c:ext xmlns:c15="http://schemas.microsoft.com/office/drawing/2012/chart" uri="{CE6537A1-D6FC-4f65-9D91-7224C49458BB}"/>
                <c:ext xmlns:c16="http://schemas.microsoft.com/office/drawing/2014/chart" uri="{C3380CC4-5D6E-409C-BE32-E72D297353CC}">
                  <c16:uniqueId val="{00000004-22BA-4E38-A031-F15A8C1C1A57}"/>
                </c:ext>
              </c:extLst>
            </c:dLbl>
            <c:dLbl>
              <c:idx val="4"/>
              <c:tx>
                <c:rich>
                  <a:bodyPr/>
                  <a:lstStyle/>
                  <a:p>
                    <a:r>
                      <a:rPr lang="en-US" baseline="0"/>
                      <a:t> </a:t>
                    </a:r>
                    <a:fld id="{9DF57342-D491-489A-9A9D-65E22F47C4E3}"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22BA-4E38-A031-F15A8C1C1A57}"/>
                </c:ext>
              </c:extLst>
            </c:dLbl>
            <c:numFmt formatCode="###,###,##0.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numRef>
              <c:f>SMA!$S$18:$S$22</c:f>
              <c:numCache>
                <c:formatCode>General</c:formatCode>
                <c:ptCount val="5"/>
                <c:pt idx="0">
                  <c:v>2020</c:v>
                </c:pt>
                <c:pt idx="1">
                  <c:v>2021</c:v>
                </c:pt>
                <c:pt idx="2">
                  <c:v>2022</c:v>
                </c:pt>
                <c:pt idx="3">
                  <c:v>2023</c:v>
                </c:pt>
                <c:pt idx="4">
                  <c:v>2024</c:v>
                </c:pt>
              </c:numCache>
            </c:numRef>
          </c:cat>
          <c:val>
            <c:numRef>
              <c:f>SMA!$U$18:$U$22</c:f>
              <c:numCache>
                <c:formatCode>General</c:formatCode>
                <c:ptCount val="5"/>
                <c:pt idx="0">
                  <c:v>13666000000</c:v>
                </c:pt>
                <c:pt idx="1">
                  <c:v>16662666666.666666</c:v>
                </c:pt>
                <c:pt idx="2">
                  <c:v>19983000000</c:v>
                </c:pt>
                <c:pt idx="3">
                  <c:v>24205000000</c:v>
                </c:pt>
                <c:pt idx="4">
                  <c:v>32156666666.666668</c:v>
                </c:pt>
              </c:numCache>
            </c:numRef>
          </c:val>
          <c:smooth val="0"/>
          <c:extLst>
            <c:ext xmlns:c16="http://schemas.microsoft.com/office/drawing/2014/chart" uri="{C3380CC4-5D6E-409C-BE32-E72D297353CC}">
              <c16:uniqueId val="{00000002-22BA-4E38-A031-F15A8C1C1A57}"/>
            </c:ext>
          </c:extLst>
        </c:ser>
        <c:dLbls>
          <c:showLegendKey val="0"/>
          <c:showVal val="0"/>
          <c:showCatName val="0"/>
          <c:showSerName val="0"/>
          <c:showPercent val="0"/>
          <c:showBubbleSize val="0"/>
        </c:dLbls>
        <c:marker val="1"/>
        <c:smooth val="0"/>
        <c:axId val="1556828592"/>
        <c:axId val="1556824752"/>
      </c:lineChart>
      <c:catAx>
        <c:axId val="155682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824752"/>
        <c:crosses val="autoZero"/>
        <c:auto val="1"/>
        <c:lblAlgn val="ctr"/>
        <c:lblOffset val="100"/>
        <c:noMultiLvlLbl val="0"/>
      </c:catAx>
      <c:valAx>
        <c:axId val="1556824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Billions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828592"/>
        <c:crosses val="autoZero"/>
        <c:crossBetween val="between"/>
        <c:dispUnits>
          <c:builtInUnit val="billions"/>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&amp; Trailing</a:t>
            </a:r>
            <a:r>
              <a:rPr lang="en-US" baseline="0"/>
              <a:t> Moving Average (3MA)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SMA!$T$47</c:f>
              <c:strCache>
                <c:ptCount val="1"/>
                <c:pt idx="0">
                  <c:v>Revenue</c:v>
                </c:pt>
              </c:strCache>
            </c:strRef>
          </c:tx>
          <c:spPr>
            <a:solidFill>
              <a:schemeClr val="accent2"/>
            </a:solidFill>
            <a:ln>
              <a:noFill/>
            </a:ln>
            <a:effectLst/>
          </c:spPr>
          <c:invertIfNegative val="0"/>
          <c:cat>
            <c:numRef>
              <c:f>SMA!$S$48:$S$52</c:f>
              <c:numCache>
                <c:formatCode>General</c:formatCode>
                <c:ptCount val="5"/>
                <c:pt idx="0">
                  <c:v>2020</c:v>
                </c:pt>
                <c:pt idx="1">
                  <c:v>2021</c:v>
                </c:pt>
                <c:pt idx="2">
                  <c:v>2022</c:v>
                </c:pt>
                <c:pt idx="3">
                  <c:v>2023</c:v>
                </c:pt>
                <c:pt idx="4">
                  <c:v>2024</c:v>
                </c:pt>
              </c:numCache>
            </c:numRef>
          </c:cat>
          <c:val>
            <c:numRef>
              <c:f>SMA!$T$48:$T$52</c:f>
              <c:numCache>
                <c:formatCode>0</c:formatCode>
                <c:ptCount val="5"/>
                <c:pt idx="0">
                  <c:v>143015000000</c:v>
                </c:pt>
                <c:pt idx="1">
                  <c:v>168088000000</c:v>
                </c:pt>
                <c:pt idx="2">
                  <c:v>198270000000</c:v>
                </c:pt>
                <c:pt idx="3">
                  <c:v>211915000000</c:v>
                </c:pt>
                <c:pt idx="4">
                  <c:v>245122000000</c:v>
                </c:pt>
              </c:numCache>
            </c:numRef>
          </c:val>
          <c:extLst>
            <c:ext xmlns:c16="http://schemas.microsoft.com/office/drawing/2014/chart" uri="{C3380CC4-5D6E-409C-BE32-E72D297353CC}">
              <c16:uniqueId val="{00000001-C4B6-431A-A2EC-CBF79C26B569}"/>
            </c:ext>
          </c:extLst>
        </c:ser>
        <c:dLbls>
          <c:showLegendKey val="0"/>
          <c:showVal val="0"/>
          <c:showCatName val="0"/>
          <c:showSerName val="0"/>
          <c:showPercent val="0"/>
          <c:showBubbleSize val="0"/>
        </c:dLbls>
        <c:gapWidth val="150"/>
        <c:axId val="1179927327"/>
        <c:axId val="1179927807"/>
      </c:barChart>
      <c:lineChart>
        <c:grouping val="standard"/>
        <c:varyColors val="0"/>
        <c:ser>
          <c:idx val="2"/>
          <c:order val="1"/>
          <c:tx>
            <c:strRef>
              <c:f>SMA!$U$47</c:f>
              <c:strCache>
                <c:ptCount val="1"/>
                <c:pt idx="0">
                  <c:v>3MA</c:v>
                </c:pt>
              </c:strCache>
            </c:strRef>
          </c:tx>
          <c:spPr>
            <a:ln w="28575" cap="rnd">
              <a:solidFill>
                <a:schemeClr val="accent3"/>
              </a:solidFill>
              <a:round/>
            </a:ln>
            <a:effectLst/>
          </c:spPr>
          <c:marker>
            <c:symbol val="none"/>
          </c:marker>
          <c:dLbls>
            <c:dLbl>
              <c:idx val="0"/>
              <c:tx>
                <c:rich>
                  <a:bodyPr/>
                  <a:lstStyle/>
                  <a:p>
                    <a:fld id="{161A5347-C420-42E7-A969-CD5CFEB022D2}" type="VALUE">
                      <a:rPr lang="en-US" baseline="0"/>
                      <a:pPr/>
                      <a:t>[VALUE]</a:t>
                    </a:fld>
                    <a:endParaRPr lang="en-US"/>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C4B6-431A-A2EC-CBF79C26B569}"/>
                </c:ext>
              </c:extLst>
            </c:dLbl>
            <c:dLbl>
              <c:idx val="1"/>
              <c:delete val="1"/>
              <c:extLst>
                <c:ext xmlns:c15="http://schemas.microsoft.com/office/drawing/2012/chart" uri="{CE6537A1-D6FC-4f65-9D91-7224C49458BB}"/>
                <c:ext xmlns:c16="http://schemas.microsoft.com/office/drawing/2014/chart" uri="{C3380CC4-5D6E-409C-BE32-E72D297353CC}">
                  <c16:uniqueId val="{00000003-C4B6-431A-A2EC-CBF79C26B569}"/>
                </c:ext>
              </c:extLst>
            </c:dLbl>
            <c:dLbl>
              <c:idx val="2"/>
              <c:tx>
                <c:rich>
                  <a:bodyPr/>
                  <a:lstStyle/>
                  <a:p>
                    <a:r>
                      <a:rPr lang="en-US" baseline="0"/>
                      <a:t> </a:t>
                    </a:r>
                    <a:fld id="{8B259CD6-3BFC-43D6-924D-70B1B0F9815D}"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C4B6-431A-A2EC-CBF79C26B569}"/>
                </c:ext>
              </c:extLst>
            </c:dLbl>
            <c:dLbl>
              <c:idx val="3"/>
              <c:delete val="1"/>
              <c:extLst>
                <c:ext xmlns:c15="http://schemas.microsoft.com/office/drawing/2012/chart" uri="{CE6537A1-D6FC-4f65-9D91-7224C49458BB}"/>
                <c:ext xmlns:c16="http://schemas.microsoft.com/office/drawing/2014/chart" uri="{C3380CC4-5D6E-409C-BE32-E72D297353CC}">
                  <c16:uniqueId val="{00000004-C4B6-431A-A2EC-CBF79C26B569}"/>
                </c:ext>
              </c:extLst>
            </c:dLbl>
            <c:dLbl>
              <c:idx val="4"/>
              <c:tx>
                <c:rich>
                  <a:bodyPr/>
                  <a:lstStyle/>
                  <a:p>
                    <a:fld id="{DF9A35D0-0381-473F-8226-5B78E75F2599}" type="VALUE">
                      <a:rPr lang="en-US" baseline="0"/>
                      <a:pPr/>
                      <a:t>[VALUE]</a:t>
                    </a:fld>
                    <a:endParaRPr lang="en-US"/>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C4B6-431A-A2EC-CBF79C26B569}"/>
                </c:ext>
              </c:extLst>
            </c:dLbl>
            <c:numFmt formatCode="###,###,##0.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numRef>
              <c:f>SMA!$S$48:$S$52</c:f>
              <c:numCache>
                <c:formatCode>General</c:formatCode>
                <c:ptCount val="5"/>
                <c:pt idx="0">
                  <c:v>2020</c:v>
                </c:pt>
                <c:pt idx="1">
                  <c:v>2021</c:v>
                </c:pt>
                <c:pt idx="2">
                  <c:v>2022</c:v>
                </c:pt>
                <c:pt idx="3">
                  <c:v>2023</c:v>
                </c:pt>
                <c:pt idx="4">
                  <c:v>2024</c:v>
                </c:pt>
              </c:numCache>
            </c:numRef>
          </c:cat>
          <c:val>
            <c:numRef>
              <c:f>SMA!$U$48:$U$52</c:f>
              <c:numCache>
                <c:formatCode>General</c:formatCode>
                <c:ptCount val="5"/>
                <c:pt idx="0">
                  <c:v>126406000000</c:v>
                </c:pt>
                <c:pt idx="1">
                  <c:v>145648666666.66666</c:v>
                </c:pt>
                <c:pt idx="2">
                  <c:v>169791000000</c:v>
                </c:pt>
                <c:pt idx="3">
                  <c:v>192757666666.66666</c:v>
                </c:pt>
                <c:pt idx="4">
                  <c:v>218435666666.66666</c:v>
                </c:pt>
              </c:numCache>
            </c:numRef>
          </c:val>
          <c:smooth val="0"/>
          <c:extLst>
            <c:ext xmlns:c16="http://schemas.microsoft.com/office/drawing/2014/chart" uri="{C3380CC4-5D6E-409C-BE32-E72D297353CC}">
              <c16:uniqueId val="{00000002-C4B6-431A-A2EC-CBF79C26B569}"/>
            </c:ext>
          </c:extLst>
        </c:ser>
        <c:dLbls>
          <c:showLegendKey val="0"/>
          <c:showVal val="0"/>
          <c:showCatName val="0"/>
          <c:showSerName val="0"/>
          <c:showPercent val="0"/>
          <c:showBubbleSize val="0"/>
        </c:dLbls>
        <c:marker val="1"/>
        <c:smooth val="0"/>
        <c:axId val="1179927327"/>
        <c:axId val="1179927807"/>
      </c:lineChart>
      <c:catAx>
        <c:axId val="117992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927807"/>
        <c:crosses val="autoZero"/>
        <c:auto val="1"/>
        <c:lblAlgn val="ctr"/>
        <c:lblOffset val="100"/>
        <c:noMultiLvlLbl val="0"/>
      </c:catAx>
      <c:valAx>
        <c:axId val="1179927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Billions</a:t>
                </a:r>
                <a:r>
                  <a:rPr lang="en-US" baseline="0"/>
                  <a:t>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927327"/>
        <c:crosses val="autoZero"/>
        <c:crossBetween val="between"/>
        <c:dispUnits>
          <c:builtInUnit val="billions"/>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 over</a:t>
            </a:r>
            <a:r>
              <a:rPr lang="en-US" baseline="0"/>
              <a:t> Year Revenue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YOY</c:v>
          </c:tx>
          <c:spPr>
            <a:ln w="28575" cap="rnd">
              <a:solidFill>
                <a:schemeClr val="accent1"/>
              </a:solidFill>
              <a:round/>
            </a:ln>
            <a:effectLst/>
          </c:spPr>
          <c:marker>
            <c:symbol val="none"/>
          </c:marker>
          <c:dLbls>
            <c:dLbl>
              <c:idx val="0"/>
              <c:tx>
                <c:rich>
                  <a:bodyPr/>
                  <a:lstStyle/>
                  <a:p>
                    <a:r>
                      <a:rPr lang="en-US" baseline="0"/>
                      <a:t> </a:t>
                    </a:r>
                    <a:fld id="{5CDE5C90-2F18-4CAC-BDE3-767DD4E07AC0}"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25A-41D1-9D87-8EFDFF256F75}"/>
                </c:ext>
              </c:extLst>
            </c:dLbl>
            <c:dLbl>
              <c:idx val="1"/>
              <c:tx>
                <c:rich>
                  <a:bodyPr/>
                  <a:lstStyle/>
                  <a:p>
                    <a:r>
                      <a:rPr lang="en-US" baseline="0"/>
                      <a:t> </a:t>
                    </a:r>
                    <a:fld id="{8141B5D5-06CD-43C9-B593-46F21FAB913E}"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825A-41D1-9D87-8EFDFF256F75}"/>
                </c:ext>
              </c:extLst>
            </c:dLbl>
            <c:dLbl>
              <c:idx val="2"/>
              <c:tx>
                <c:rich>
                  <a:bodyPr/>
                  <a:lstStyle/>
                  <a:p>
                    <a:r>
                      <a:rPr lang="en-US" baseline="0"/>
                      <a:t> </a:t>
                    </a:r>
                    <a:fld id="{6F7067E0-3E16-4C73-B45C-254BFBAE261E}"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25A-41D1-9D87-8EFDFF256F75}"/>
                </c:ext>
              </c:extLst>
            </c:dLbl>
            <c:dLbl>
              <c:idx val="3"/>
              <c:tx>
                <c:rich>
                  <a:bodyPr/>
                  <a:lstStyle/>
                  <a:p>
                    <a:r>
                      <a:rPr lang="en-US" baseline="0"/>
                      <a:t> </a:t>
                    </a:r>
                    <a:fld id="{84469A4B-5ED9-4DA0-9C96-DCA7F6E710F6}"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825A-41D1-9D87-8EFDFF256F75}"/>
                </c:ext>
              </c:extLst>
            </c:dLbl>
            <c:dLbl>
              <c:idx val="4"/>
              <c:tx>
                <c:rich>
                  <a:bodyPr/>
                  <a:lstStyle/>
                  <a:p>
                    <a:r>
                      <a:rPr lang="en-US" baseline="0"/>
                      <a:t> </a:t>
                    </a:r>
                    <a:fld id="{DA4BF63F-94D7-4E2B-9123-45077335B800}"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825A-41D1-9D87-8EFDFF256F7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numRef>
              <c:f>SMA!$K$64:$O$64</c:f>
              <c:numCache>
                <c:formatCode>General</c:formatCode>
                <c:ptCount val="5"/>
                <c:pt idx="0">
                  <c:v>2020</c:v>
                </c:pt>
                <c:pt idx="1">
                  <c:v>2021</c:v>
                </c:pt>
                <c:pt idx="2">
                  <c:v>2022</c:v>
                </c:pt>
                <c:pt idx="3">
                  <c:v>2023</c:v>
                </c:pt>
                <c:pt idx="4">
                  <c:v>2024</c:v>
                </c:pt>
              </c:numCache>
            </c:numRef>
          </c:cat>
          <c:val>
            <c:numRef>
              <c:f>SMA!$K$65:$O$65</c:f>
              <c:numCache>
                <c:formatCode>0.00%</c:formatCode>
                <c:ptCount val="5"/>
                <c:pt idx="0">
                  <c:v>0.13645574247276368</c:v>
                </c:pt>
                <c:pt idx="1">
                  <c:v>0.175317274411775</c:v>
                </c:pt>
                <c:pt idx="2">
                  <c:v>0.17956070629670173</c:v>
                </c:pt>
                <c:pt idx="3">
                  <c:v>6.8820295556564284E-2</c:v>
                </c:pt>
                <c:pt idx="4">
                  <c:v>0.15669962013071279</c:v>
                </c:pt>
              </c:numCache>
            </c:numRef>
          </c:val>
          <c:smooth val="0"/>
          <c:extLst>
            <c:ext xmlns:c16="http://schemas.microsoft.com/office/drawing/2014/chart" uri="{C3380CC4-5D6E-409C-BE32-E72D297353CC}">
              <c16:uniqueId val="{00000002-825A-41D1-9D87-8EFDFF256F75}"/>
            </c:ext>
          </c:extLst>
        </c:ser>
        <c:dLbls>
          <c:showLegendKey val="0"/>
          <c:showVal val="0"/>
          <c:showCatName val="0"/>
          <c:showSerName val="0"/>
          <c:showPercent val="0"/>
          <c:showBubbleSize val="0"/>
        </c:dLbls>
        <c:smooth val="0"/>
        <c:axId val="1179918207"/>
        <c:axId val="1179924447"/>
      </c:lineChart>
      <c:catAx>
        <c:axId val="117991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924447"/>
        <c:crosses val="autoZero"/>
        <c:auto val="1"/>
        <c:lblAlgn val="ctr"/>
        <c:lblOffset val="100"/>
        <c:noMultiLvlLbl val="0"/>
      </c:catAx>
      <c:valAx>
        <c:axId val="11799244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918207"/>
        <c:crosses val="autoZero"/>
        <c:crossBetween val="between"/>
        <c:maj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33</xdr:row>
      <xdr:rowOff>180975</xdr:rowOff>
    </xdr:from>
    <xdr:to>
      <xdr:col>11</xdr:col>
      <xdr:colOff>561975</xdr:colOff>
      <xdr:row>37</xdr:row>
      <xdr:rowOff>85725</xdr:rowOff>
    </xdr:to>
    <xdr:pic>
      <xdr:nvPicPr>
        <xdr:cNvPr id="8257" name="Picture 1">
          <a:extLst>
            <a:ext uri="{FF2B5EF4-FFF2-40B4-BE49-F238E27FC236}">
              <a16:creationId xmlns:a16="http://schemas.microsoft.com/office/drawing/2014/main" id="{D01B3F5A-3FD7-5575-E98D-926061C2BC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24675" y="6467475"/>
          <a:ext cx="3343275"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22334</xdr:colOff>
      <xdr:row>13</xdr:row>
      <xdr:rowOff>5912</xdr:rowOff>
    </xdr:from>
    <xdr:to>
      <xdr:col>12</xdr:col>
      <xdr:colOff>13138</xdr:colOff>
      <xdr:row>18</xdr:row>
      <xdr:rowOff>137948</xdr:rowOff>
    </xdr:to>
    <xdr:sp macro="" textlink="">
      <xdr:nvSpPr>
        <xdr:cNvPr id="2" name="TextBox 1">
          <a:extLst>
            <a:ext uri="{FF2B5EF4-FFF2-40B4-BE49-F238E27FC236}">
              <a16:creationId xmlns:a16="http://schemas.microsoft.com/office/drawing/2014/main" id="{F84C5C82-74BD-F45D-34F2-0CE048C592C6}"/>
            </a:ext>
          </a:extLst>
        </xdr:cNvPr>
        <xdr:cNvSpPr txBox="1"/>
      </xdr:nvSpPr>
      <xdr:spPr>
        <a:xfrm>
          <a:off x="7267903" y="2679481"/>
          <a:ext cx="4996356" cy="11305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Despite the variability,</a:t>
          </a:r>
          <a:r>
            <a:rPr lang="en-US" sz="1100" baseline="0"/>
            <a:t> the baseline and optimistic cases both produce positive NPV's, indicating that Dell should proceed with the project if management expects to achieve at least baseline sales forecast. Only in the most pessimistic scenario does the NPV turn negative, which would make the project unattractive. Therefore, while the decision depends heavily on sales execution, the overall analysis supports accepting the project under realistic expectations for market demand. </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304800</xdr:colOff>
      <xdr:row>5</xdr:row>
      <xdr:rowOff>85725</xdr:rowOff>
    </xdr:from>
    <xdr:to>
      <xdr:col>15</xdr:col>
      <xdr:colOff>666750</xdr:colOff>
      <xdr:row>22</xdr:row>
      <xdr:rowOff>76200</xdr:rowOff>
    </xdr:to>
    <xdr:graphicFrame macro="">
      <xdr:nvGraphicFramePr>
        <xdr:cNvPr id="5" name="Chart 4">
          <a:extLst>
            <a:ext uri="{FF2B5EF4-FFF2-40B4-BE49-F238E27FC236}">
              <a16:creationId xmlns:a16="http://schemas.microsoft.com/office/drawing/2014/main" id="{6F05FE6A-749F-EEC8-26B3-B20826779F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276225</xdr:colOff>
      <xdr:row>24</xdr:row>
      <xdr:rowOff>9525</xdr:rowOff>
    </xdr:from>
    <xdr:to>
      <xdr:col>15</xdr:col>
      <xdr:colOff>704850</xdr:colOff>
      <xdr:row>32</xdr:row>
      <xdr:rowOff>104775</xdr:rowOff>
    </xdr:to>
    <xdr:sp macro="" textlink="">
      <xdr:nvSpPr>
        <xdr:cNvPr id="6" name="TextBox 5">
          <a:extLst>
            <a:ext uri="{FF2B5EF4-FFF2-40B4-BE49-F238E27FC236}">
              <a16:creationId xmlns:a16="http://schemas.microsoft.com/office/drawing/2014/main" id="{D3D71681-0D7C-1D83-345F-396B0D938081}"/>
            </a:ext>
          </a:extLst>
        </xdr:cNvPr>
        <xdr:cNvSpPr txBox="1"/>
      </xdr:nvSpPr>
      <xdr:spPr>
        <a:xfrm>
          <a:off x="13344525" y="3895725"/>
          <a:ext cx="4991100" cy="1390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To better understand Microsoft’s capital expenditure trends, a trailing 3-year moving average (3MA) was calculated for FY2020–FY2024. The 3MA smooths short-term volatility and reveals the underlying trend. As shown in the figure, Microsoft’s CapEx has increased consistently, with a notable acceleration beginning in FY2023 and a sharp rise in FY2024 driven by cloud infrastructure expansion, AI data center deployment, and GPU cluster investment. This trend provides a strong foundation for justifying the capital requirements of the proposed AR hardware project.</a:t>
          </a:r>
          <a:endParaRPr lang="en-US" sz="1100"/>
        </a:p>
      </xdr:txBody>
    </xdr:sp>
    <xdr:clientData/>
  </xdr:twoCellAnchor>
  <xdr:twoCellAnchor>
    <xdr:from>
      <xdr:col>10</xdr:col>
      <xdr:colOff>95250</xdr:colOff>
      <xdr:row>40</xdr:row>
      <xdr:rowOff>114300</xdr:rowOff>
    </xdr:from>
    <xdr:to>
      <xdr:col>15</xdr:col>
      <xdr:colOff>638175</xdr:colOff>
      <xdr:row>59</xdr:row>
      <xdr:rowOff>28575</xdr:rowOff>
    </xdr:to>
    <xdr:graphicFrame macro="">
      <xdr:nvGraphicFramePr>
        <xdr:cNvPr id="7" name="Chart 6">
          <a:extLst>
            <a:ext uri="{FF2B5EF4-FFF2-40B4-BE49-F238E27FC236}">
              <a16:creationId xmlns:a16="http://schemas.microsoft.com/office/drawing/2014/main" id="{3D3F7113-D238-FAE4-C5A5-1CD513AFB6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561975</xdr:colOff>
      <xdr:row>68</xdr:row>
      <xdr:rowOff>133350</xdr:rowOff>
    </xdr:from>
    <xdr:to>
      <xdr:col>14</xdr:col>
      <xdr:colOff>857250</xdr:colOff>
      <xdr:row>85</xdr:row>
      <xdr:rowOff>123825</xdr:rowOff>
    </xdr:to>
    <xdr:graphicFrame macro="">
      <xdr:nvGraphicFramePr>
        <xdr:cNvPr id="8" name="Chart 7">
          <a:extLst>
            <a:ext uri="{FF2B5EF4-FFF2-40B4-BE49-F238E27FC236}">
              <a16:creationId xmlns:a16="http://schemas.microsoft.com/office/drawing/2014/main" id="{3FE43DE5-AE25-715E-BF66-64D1242631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123825</xdr:colOff>
      <xdr:row>35</xdr:row>
      <xdr:rowOff>85725</xdr:rowOff>
    </xdr:from>
    <xdr:to>
      <xdr:col>12</xdr:col>
      <xdr:colOff>609601</xdr:colOff>
      <xdr:row>39</xdr:row>
      <xdr:rowOff>38100</xdr:rowOff>
    </xdr:to>
    <xdr:pic>
      <xdr:nvPicPr>
        <xdr:cNvPr id="6209" name="Picture 1">
          <a:extLst>
            <a:ext uri="{FF2B5EF4-FFF2-40B4-BE49-F238E27FC236}">
              <a16:creationId xmlns:a16="http://schemas.microsoft.com/office/drawing/2014/main" id="{3E3D660A-4B55-54B6-383B-E1C3BE6BCA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48500" y="6753225"/>
          <a:ext cx="39528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123825</xdr:colOff>
      <xdr:row>35</xdr:row>
      <xdr:rowOff>85725</xdr:rowOff>
    </xdr:from>
    <xdr:to>
      <xdr:col>13</xdr:col>
      <xdr:colOff>419101</xdr:colOff>
      <xdr:row>39</xdr:row>
      <xdr:rowOff>152400</xdr:rowOff>
    </xdr:to>
    <xdr:pic>
      <xdr:nvPicPr>
        <xdr:cNvPr id="2" name="Picture 1">
          <a:extLst>
            <a:ext uri="{FF2B5EF4-FFF2-40B4-BE49-F238E27FC236}">
              <a16:creationId xmlns:a16="http://schemas.microsoft.com/office/drawing/2014/main" id="{0ADFC250-7154-41AE-A190-D5BD8F8242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67575" y="6753225"/>
          <a:ext cx="3952876"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85FE7-AC99-4934-BC09-D6ECD0C88287}">
  <sheetPr>
    <outlinePr summaryBelow="0" summaryRight="0"/>
  </sheetPr>
  <dimension ref="A1:N337"/>
  <sheetViews>
    <sheetView zoomScale="130" zoomScaleNormal="130" workbookViewId="0"/>
  </sheetViews>
  <sheetFormatPr defaultRowHeight="12.75" x14ac:dyDescent="0.2"/>
  <cols>
    <col min="1" max="1" width="59.42578125" customWidth="1"/>
    <col min="2" max="5" width="15" customWidth="1"/>
    <col min="8" max="8" width="24.7109375" customWidth="1"/>
    <col min="9" max="9" width="17.42578125" customWidth="1"/>
    <col min="10" max="10" width="11.28515625" customWidth="1"/>
    <col min="11" max="11" width="10.85546875" customWidth="1"/>
    <col min="12" max="12" width="11.28515625" customWidth="1"/>
  </cols>
  <sheetData>
    <row r="1" spans="1:14" x14ac:dyDescent="0.2">
      <c r="A1" s="1" t="s">
        <v>0</v>
      </c>
      <c r="I1" s="116" t="s">
        <v>335</v>
      </c>
      <c r="J1" s="116"/>
      <c r="K1" s="116"/>
      <c r="L1" s="116"/>
      <c r="M1" s="116"/>
      <c r="N1" s="116"/>
    </row>
    <row r="2" spans="1:14" x14ac:dyDescent="0.2">
      <c r="A2" s="1" t="s">
        <v>57</v>
      </c>
    </row>
    <row r="3" spans="1:14" x14ac:dyDescent="0.2">
      <c r="A3" s="1"/>
      <c r="B3" s="1">
        <v>2021</v>
      </c>
      <c r="C3" s="1">
        <f>B3+1</f>
        <v>2022</v>
      </c>
      <c r="D3" s="1">
        <f>C3+1</f>
        <v>2023</v>
      </c>
      <c r="E3" s="1">
        <f>D3+1</f>
        <v>2024</v>
      </c>
      <c r="I3" s="81">
        <v>2021</v>
      </c>
      <c r="J3" s="81">
        <f>I3+1</f>
        <v>2022</v>
      </c>
      <c r="K3" s="81">
        <f>J3+1</f>
        <v>2023</v>
      </c>
      <c r="L3" s="81">
        <f>K3+1</f>
        <v>2024</v>
      </c>
      <c r="M3" s="75"/>
      <c r="N3" s="75"/>
    </row>
    <row r="4" spans="1:14" x14ac:dyDescent="0.2">
      <c r="A4" s="1"/>
      <c r="H4" s="68" t="s">
        <v>336</v>
      </c>
      <c r="I4" s="65">
        <v>101197</v>
      </c>
      <c r="J4" s="65">
        <v>102301</v>
      </c>
      <c r="K4" s="65">
        <v>88425</v>
      </c>
      <c r="L4" s="65">
        <v>95567</v>
      </c>
    </row>
    <row r="5" spans="1:14" x14ac:dyDescent="0.2">
      <c r="A5" s="63" t="s">
        <v>1</v>
      </c>
      <c r="H5" s="68" t="s">
        <v>337</v>
      </c>
      <c r="I5" s="65">
        <v>76802</v>
      </c>
      <c r="J5" s="65">
        <v>76907</v>
      </c>
      <c r="K5" s="65">
        <v>64655</v>
      </c>
      <c r="L5" s="65">
        <v>71468</v>
      </c>
    </row>
    <row r="6" spans="1:14" x14ac:dyDescent="0.2">
      <c r="A6" s="1" t="s">
        <v>58</v>
      </c>
      <c r="H6" s="68" t="s">
        <v>338</v>
      </c>
      <c r="I6" s="65">
        <v>15916</v>
      </c>
      <c r="J6" s="65">
        <v>15918</v>
      </c>
      <c r="K6" s="65">
        <v>14596</v>
      </c>
      <c r="L6" s="65">
        <v>14046</v>
      </c>
    </row>
    <row r="7" spans="1:14" x14ac:dyDescent="0.2">
      <c r="A7" s="64" t="s">
        <v>59</v>
      </c>
      <c r="B7" s="65">
        <v>10011</v>
      </c>
      <c r="C7" s="65">
        <v>8879</v>
      </c>
      <c r="D7" s="65">
        <v>7502</v>
      </c>
      <c r="E7" s="65">
        <v>3756</v>
      </c>
      <c r="G7" s="68"/>
      <c r="H7" s="68" t="s">
        <v>339</v>
      </c>
      <c r="I7" s="65">
        <v>3547</v>
      </c>
      <c r="J7" s="65">
        <v>3156</v>
      </c>
      <c r="K7" s="65">
        <v>3303</v>
      </c>
      <c r="L7" s="65">
        <v>3123</v>
      </c>
    </row>
    <row r="8" spans="1:14" x14ac:dyDescent="0.2">
      <c r="A8" s="64" t="s">
        <v>60</v>
      </c>
      <c r="B8" s="65">
        <v>9477</v>
      </c>
      <c r="C8" s="65">
        <v>8607</v>
      </c>
      <c r="D8" s="65">
        <v>7366</v>
      </c>
      <c r="E8" s="65">
        <v>3633</v>
      </c>
      <c r="H8" s="68" t="s">
        <v>5</v>
      </c>
      <c r="I8" s="68">
        <v>0.21</v>
      </c>
      <c r="J8" s="68">
        <v>0.21</v>
      </c>
      <c r="K8" s="68">
        <v>0.21</v>
      </c>
      <c r="L8" s="68">
        <v>0.21</v>
      </c>
    </row>
    <row r="9" spans="1:14" x14ac:dyDescent="0.2">
      <c r="A9" s="64" t="s">
        <v>61</v>
      </c>
      <c r="B9" s="65">
        <v>534</v>
      </c>
      <c r="C9" s="65">
        <v>272</v>
      </c>
      <c r="D9" s="65">
        <v>136</v>
      </c>
      <c r="E9" s="65">
        <v>123</v>
      </c>
    </row>
    <row r="10" spans="1:14" x14ac:dyDescent="0.2">
      <c r="A10" s="64" t="s">
        <v>62</v>
      </c>
      <c r="B10" s="65">
        <v>18132</v>
      </c>
      <c r="C10" s="65">
        <v>18141</v>
      </c>
      <c r="D10" s="65">
        <v>13986</v>
      </c>
      <c r="E10" s="65">
        <v>15602</v>
      </c>
      <c r="H10" s="68" t="s">
        <v>9</v>
      </c>
      <c r="I10">
        <f>(I4-I5-I6-I7)*(1-I8)</f>
        <v>3896.28</v>
      </c>
      <c r="J10">
        <f t="shared" ref="J10:L10" si="0">(J4-J5-J6-J7)*(1-J8)</f>
        <v>4992.8</v>
      </c>
      <c r="K10">
        <f t="shared" si="0"/>
        <v>4638.09</v>
      </c>
      <c r="L10">
        <f t="shared" si="0"/>
        <v>5474.7</v>
      </c>
    </row>
    <row r="11" spans="1:14" x14ac:dyDescent="0.2">
      <c r="A11" s="64" t="s">
        <v>63</v>
      </c>
      <c r="B11" s="65">
        <v>18001</v>
      </c>
      <c r="C11" s="65">
        <v>17763</v>
      </c>
      <c r="D11" s="65">
        <v>13986</v>
      </c>
      <c r="E11" s="65">
        <v>15602</v>
      </c>
    </row>
    <row r="12" spans="1:14" ht="25.5" x14ac:dyDescent="0.2">
      <c r="A12" s="64" t="s">
        <v>64</v>
      </c>
      <c r="B12" s="65">
        <v>0</v>
      </c>
      <c r="C12" s="65">
        <v>0</v>
      </c>
      <c r="D12" s="65">
        <v>0</v>
      </c>
      <c r="E12" s="65">
        <v>0</v>
      </c>
      <c r="H12" s="69" t="s">
        <v>127</v>
      </c>
      <c r="I12" s="65">
        <v>8479</v>
      </c>
      <c r="J12" s="65">
        <v>9476</v>
      </c>
      <c r="K12" s="65">
        <v>9174</v>
      </c>
      <c r="L12" s="65">
        <v>10053</v>
      </c>
    </row>
    <row r="13" spans="1:14" x14ac:dyDescent="0.2">
      <c r="A13" s="64" t="s">
        <v>65</v>
      </c>
      <c r="B13" s="65">
        <v>131</v>
      </c>
      <c r="C13" s="65">
        <v>378</v>
      </c>
      <c r="D13" s="65">
        <v>0</v>
      </c>
      <c r="E13" s="65">
        <v>0</v>
      </c>
    </row>
    <row r="14" spans="1:14" x14ac:dyDescent="0.2">
      <c r="A14" s="64" t="s">
        <v>66</v>
      </c>
      <c r="B14" s="65">
        <v>5898</v>
      </c>
      <c r="C14" s="65">
        <v>4776</v>
      </c>
      <c r="D14" s="65">
        <v>3622</v>
      </c>
      <c r="E14" s="65">
        <v>6716</v>
      </c>
      <c r="H14" t="s">
        <v>340</v>
      </c>
      <c r="I14" s="70">
        <f>I12/I4</f>
        <v>8.3787068786624105E-2</v>
      </c>
      <c r="J14" s="70">
        <f t="shared" ref="J14:K14" si="1">J12/J4</f>
        <v>9.2628615556055172E-2</v>
      </c>
      <c r="K14" s="70">
        <f t="shared" si="1"/>
        <v>0.10374893977947414</v>
      </c>
      <c r="L14" s="70">
        <f>L12/L4</f>
        <v>0.10519321523119905</v>
      </c>
    </row>
    <row r="15" spans="1:14" x14ac:dyDescent="0.2">
      <c r="A15" s="64" t="s">
        <v>67</v>
      </c>
      <c r="B15" s="65">
        <v>3653</v>
      </c>
      <c r="C15" s="65">
        <v>3225</v>
      </c>
      <c r="D15" s="65">
        <v>2321</v>
      </c>
      <c r="E15" s="65">
        <v>4432</v>
      </c>
    </row>
    <row r="16" spans="1:14" x14ac:dyDescent="0.2">
      <c r="A16" s="64" t="s">
        <v>68</v>
      </c>
      <c r="B16" s="65">
        <v>855</v>
      </c>
      <c r="C16" s="65">
        <v>708</v>
      </c>
      <c r="D16" s="65">
        <v>607</v>
      </c>
      <c r="E16" s="65">
        <v>1128</v>
      </c>
    </row>
    <row r="17" spans="1:14" x14ac:dyDescent="0.2">
      <c r="A17" s="64" t="s">
        <v>69</v>
      </c>
      <c r="B17" s="65">
        <v>1390</v>
      </c>
      <c r="C17" s="65">
        <v>843</v>
      </c>
      <c r="D17" s="65">
        <v>694</v>
      </c>
      <c r="E17" s="65">
        <v>1156</v>
      </c>
      <c r="I17" s="115" t="s">
        <v>341</v>
      </c>
      <c r="J17" s="115"/>
      <c r="K17" s="115"/>
      <c r="L17" s="115"/>
      <c r="M17" s="115"/>
      <c r="N17" s="115"/>
    </row>
    <row r="18" spans="1:14" x14ac:dyDescent="0.2">
      <c r="A18" s="64" t="s">
        <v>70</v>
      </c>
      <c r="B18" s="65">
        <v>0</v>
      </c>
      <c r="C18" s="65">
        <v>0</v>
      </c>
      <c r="D18" s="65">
        <v>0</v>
      </c>
      <c r="E18" s="65">
        <v>0</v>
      </c>
      <c r="H18" s="68"/>
    </row>
    <row r="19" spans="1:14" x14ac:dyDescent="0.2">
      <c r="A19" s="64" t="s">
        <v>71</v>
      </c>
      <c r="B19" s="65">
        <v>10992</v>
      </c>
      <c r="C19" s="65">
        <v>10555</v>
      </c>
      <c r="D19" s="65">
        <v>10837</v>
      </c>
      <c r="E19" s="65">
        <v>10155</v>
      </c>
      <c r="H19" s="68" t="s">
        <v>342</v>
      </c>
      <c r="I19" s="65">
        <v>18132</v>
      </c>
      <c r="J19" s="65">
        <v>18141</v>
      </c>
      <c r="K19" s="65">
        <v>13986</v>
      </c>
      <c r="L19" s="65">
        <v>15602</v>
      </c>
    </row>
    <row r="20" spans="1:14" ht="13.5" x14ac:dyDescent="0.25">
      <c r="A20" s="64" t="s">
        <v>72</v>
      </c>
      <c r="B20" s="65">
        <v>886</v>
      </c>
      <c r="C20" s="65">
        <v>641</v>
      </c>
      <c r="D20" s="65">
        <v>589</v>
      </c>
      <c r="E20" s="65">
        <v>564</v>
      </c>
      <c r="H20" s="72" t="s">
        <v>347</v>
      </c>
      <c r="I20" s="73"/>
      <c r="J20" s="73">
        <f>J19-I19</f>
        <v>9</v>
      </c>
      <c r="K20" s="73">
        <f t="shared" ref="K20:L20" si="2">K19-J19</f>
        <v>-4155</v>
      </c>
      <c r="L20" s="73">
        <f t="shared" si="2"/>
        <v>1616</v>
      </c>
    </row>
    <row r="21" spans="1:14" x14ac:dyDescent="0.2">
      <c r="A21" s="64" t="s">
        <v>73</v>
      </c>
      <c r="B21" s="65">
        <v>10106</v>
      </c>
      <c r="C21" s="65">
        <v>9914</v>
      </c>
      <c r="D21" s="65">
        <v>10248</v>
      </c>
      <c r="E21" s="65">
        <v>9591</v>
      </c>
      <c r="H21" s="68" t="s">
        <v>343</v>
      </c>
      <c r="I21" s="65">
        <v>5898</v>
      </c>
      <c r="J21" s="65">
        <v>4776</v>
      </c>
      <c r="K21" s="65">
        <v>3622</v>
      </c>
      <c r="L21" s="65">
        <v>6716</v>
      </c>
    </row>
    <row r="22" spans="1:14" x14ac:dyDescent="0.2">
      <c r="A22" s="64" t="s">
        <v>74</v>
      </c>
      <c r="B22" s="65">
        <v>45033</v>
      </c>
      <c r="C22" s="65">
        <v>42351</v>
      </c>
      <c r="D22" s="65">
        <v>35947</v>
      </c>
      <c r="E22" s="65">
        <v>36229</v>
      </c>
      <c r="H22" s="74" t="s">
        <v>348</v>
      </c>
      <c r="I22" s="75"/>
      <c r="J22" s="76">
        <f>J21-I21</f>
        <v>-1122</v>
      </c>
      <c r="K22" s="76">
        <f t="shared" ref="K22:L22" si="3">K21-J21</f>
        <v>-1154</v>
      </c>
      <c r="L22" s="76">
        <f t="shared" si="3"/>
        <v>3094</v>
      </c>
    </row>
    <row r="23" spans="1:14" x14ac:dyDescent="0.2">
      <c r="A23" s="64" t="s">
        <v>75</v>
      </c>
      <c r="B23" s="65">
        <v>6286</v>
      </c>
      <c r="C23" s="65">
        <v>6934</v>
      </c>
      <c r="D23" s="65">
        <v>7139</v>
      </c>
      <c r="E23" s="65">
        <v>6996</v>
      </c>
      <c r="H23" s="68" t="s">
        <v>344</v>
      </c>
      <c r="I23" s="65">
        <v>27143</v>
      </c>
      <c r="J23" s="65">
        <v>18598</v>
      </c>
      <c r="K23" s="65">
        <v>19389</v>
      </c>
      <c r="L23" s="65">
        <v>20832</v>
      </c>
    </row>
    <row r="24" spans="1:14" ht="13.5" x14ac:dyDescent="0.25">
      <c r="A24" s="64" t="s">
        <v>76</v>
      </c>
      <c r="B24" s="65">
        <v>13177</v>
      </c>
      <c r="C24" s="65">
        <v>13817</v>
      </c>
      <c r="D24" s="65">
        <v>14324</v>
      </c>
      <c r="E24" s="65">
        <v>14756</v>
      </c>
      <c r="G24" s="45"/>
      <c r="H24" s="72" t="s">
        <v>349</v>
      </c>
      <c r="I24" s="75"/>
      <c r="J24" s="76">
        <f>J23-I23</f>
        <v>-8545</v>
      </c>
      <c r="K24" s="76">
        <f t="shared" ref="K24:L24" si="4">K23-J23</f>
        <v>791</v>
      </c>
      <c r="L24" s="76">
        <f t="shared" si="4"/>
        <v>1443</v>
      </c>
    </row>
    <row r="25" spans="1:14" x14ac:dyDescent="0.2">
      <c r="A25" s="64" t="s">
        <v>77</v>
      </c>
      <c r="B25" s="65">
        <v>6891</v>
      </c>
      <c r="C25" s="65">
        <v>6883</v>
      </c>
      <c r="D25" s="65">
        <v>7185</v>
      </c>
      <c r="E25" s="65">
        <v>7760</v>
      </c>
      <c r="H25" s="68" t="s">
        <v>345</v>
      </c>
    </row>
    <row r="26" spans="1:14" x14ac:dyDescent="0.2">
      <c r="A26" s="64" t="s">
        <v>78</v>
      </c>
      <c r="B26" s="65">
        <v>0</v>
      </c>
      <c r="C26" s="65">
        <v>0</v>
      </c>
      <c r="D26" s="65">
        <v>0</v>
      </c>
      <c r="E26" s="65">
        <v>0</v>
      </c>
      <c r="H26" s="68" t="s">
        <v>346</v>
      </c>
      <c r="I26" s="77">
        <f>I7</f>
        <v>3547</v>
      </c>
      <c r="J26" s="77">
        <f t="shared" ref="J26:L26" si="5">J7</f>
        <v>3156</v>
      </c>
      <c r="K26" s="77">
        <f t="shared" si="5"/>
        <v>3303</v>
      </c>
      <c r="L26" s="77">
        <f t="shared" si="5"/>
        <v>3123</v>
      </c>
    </row>
    <row r="27" spans="1:14" x14ac:dyDescent="0.2">
      <c r="A27" s="64" t="s">
        <v>79</v>
      </c>
      <c r="B27" s="65">
        <v>8071</v>
      </c>
      <c r="C27" s="65">
        <v>7596</v>
      </c>
      <c r="D27" s="65">
        <v>7193</v>
      </c>
      <c r="E27" s="65">
        <v>7423</v>
      </c>
      <c r="H27" s="74" t="s">
        <v>350</v>
      </c>
      <c r="I27" s="73">
        <v>2796</v>
      </c>
      <c r="J27" s="73">
        <v>3003</v>
      </c>
      <c r="K27" s="73">
        <v>2756</v>
      </c>
      <c r="L27" s="73">
        <v>2652</v>
      </c>
    </row>
    <row r="28" spans="1:14" x14ac:dyDescent="0.2">
      <c r="A28" s="64" t="s">
        <v>80</v>
      </c>
      <c r="B28" s="65">
        <v>27903</v>
      </c>
      <c r="C28" s="65">
        <v>26817</v>
      </c>
      <c r="D28" s="65">
        <v>26047</v>
      </c>
      <c r="E28" s="65">
        <v>24731</v>
      </c>
      <c r="H28" s="80" t="s">
        <v>351</v>
      </c>
      <c r="I28" s="76">
        <f>I19+I21-I23</f>
        <v>-3113</v>
      </c>
      <c r="J28" s="76">
        <f t="shared" ref="J28:L28" si="6">J19+J21-J23</f>
        <v>4319</v>
      </c>
      <c r="K28" s="76">
        <f t="shared" si="6"/>
        <v>-1781</v>
      </c>
      <c r="L28" s="76">
        <f t="shared" si="6"/>
        <v>1486</v>
      </c>
    </row>
    <row r="29" spans="1:14" ht="16.5" x14ac:dyDescent="0.25">
      <c r="A29" s="64" t="s">
        <v>81</v>
      </c>
      <c r="B29" s="65">
        <v>5442</v>
      </c>
      <c r="C29" s="65">
        <v>5913</v>
      </c>
      <c r="D29" s="65">
        <v>5763</v>
      </c>
      <c r="E29" s="65">
        <v>4367</v>
      </c>
      <c r="H29" s="71" t="s">
        <v>352</v>
      </c>
      <c r="I29" s="71"/>
      <c r="J29" s="79">
        <f>J20+J22-J24</f>
        <v>7432</v>
      </c>
      <c r="K29" s="79">
        <f t="shared" ref="K29" si="7">K20+K22-K24</f>
        <v>-6100</v>
      </c>
      <c r="L29" s="79">
        <f>L20+L22-L24</f>
        <v>3267</v>
      </c>
      <c r="M29" s="71"/>
      <c r="N29" s="71"/>
    </row>
    <row r="30" spans="1:14" x14ac:dyDescent="0.2">
      <c r="A30" s="64" t="s">
        <v>82</v>
      </c>
      <c r="B30" s="64" t="s">
        <v>83</v>
      </c>
      <c r="C30" s="64" t="s">
        <v>83</v>
      </c>
      <c r="D30" s="64" t="s">
        <v>83</v>
      </c>
      <c r="E30" s="64" t="s">
        <v>83</v>
      </c>
    </row>
    <row r="31" spans="1:14" x14ac:dyDescent="0.2">
      <c r="A31" s="64" t="s">
        <v>84</v>
      </c>
      <c r="B31" s="65">
        <v>5442</v>
      </c>
      <c r="C31" s="65">
        <v>5913</v>
      </c>
      <c r="D31" s="65">
        <v>5763</v>
      </c>
      <c r="E31" s="65">
        <v>4367</v>
      </c>
      <c r="I31" s="115" t="s">
        <v>14</v>
      </c>
      <c r="J31" s="115"/>
      <c r="K31" s="115"/>
      <c r="L31" s="115"/>
      <c r="M31" s="115"/>
      <c r="N31" s="115"/>
    </row>
    <row r="32" spans="1:14" x14ac:dyDescent="0.2">
      <c r="A32" s="64" t="s">
        <v>85</v>
      </c>
      <c r="B32" s="65">
        <v>92735</v>
      </c>
      <c r="C32" s="65">
        <v>89611</v>
      </c>
      <c r="D32" s="65">
        <v>82089</v>
      </c>
      <c r="E32" s="65">
        <v>79746</v>
      </c>
      <c r="I32" s="78">
        <f>I10+I7-I27-I29</f>
        <v>4647.2800000000007</v>
      </c>
      <c r="J32" s="78">
        <f t="shared" ref="J32:L32" si="8">J10+J7-J27-J29</f>
        <v>-2286.1999999999998</v>
      </c>
      <c r="K32" s="78">
        <f t="shared" si="8"/>
        <v>11285.09</v>
      </c>
      <c r="L32" s="78">
        <f t="shared" si="8"/>
        <v>2678.7000000000007</v>
      </c>
    </row>
    <row r="33" spans="1:14" x14ac:dyDescent="0.2">
      <c r="A33" s="1" t="s">
        <v>86</v>
      </c>
    </row>
    <row r="34" spans="1:14" x14ac:dyDescent="0.2">
      <c r="A34" s="64" t="s">
        <v>87</v>
      </c>
      <c r="B34" s="65">
        <v>6110</v>
      </c>
      <c r="C34" s="65">
        <v>6833</v>
      </c>
      <c r="D34" s="65">
        <v>7235</v>
      </c>
      <c r="E34" s="65">
        <v>5440</v>
      </c>
    </row>
    <row r="35" spans="1:14" x14ac:dyDescent="0.2">
      <c r="A35" s="64" t="s">
        <v>88</v>
      </c>
      <c r="B35" s="65">
        <v>0</v>
      </c>
      <c r="C35" s="65">
        <v>0</v>
      </c>
      <c r="D35" s="65">
        <v>0</v>
      </c>
      <c r="E35" s="65">
        <v>0</v>
      </c>
    </row>
    <row r="36" spans="1:14" x14ac:dyDescent="0.2">
      <c r="A36" s="64" t="s">
        <v>89</v>
      </c>
      <c r="B36" s="65">
        <v>6110</v>
      </c>
      <c r="C36" s="65">
        <v>6833</v>
      </c>
      <c r="D36" s="65">
        <v>7235</v>
      </c>
      <c r="E36" s="65">
        <v>5440</v>
      </c>
      <c r="H36" s="74" t="s">
        <v>357</v>
      </c>
      <c r="I36" s="75"/>
      <c r="J36" s="75"/>
      <c r="K36" s="75"/>
      <c r="L36" s="75"/>
      <c r="M36" s="75"/>
      <c r="N36" s="75"/>
    </row>
    <row r="37" spans="1:14" x14ac:dyDescent="0.2">
      <c r="A37" s="64" t="s">
        <v>90</v>
      </c>
      <c r="B37" s="65">
        <v>27143</v>
      </c>
      <c r="C37" s="65">
        <v>18598</v>
      </c>
      <c r="D37" s="65">
        <v>19389</v>
      </c>
      <c r="E37" s="65">
        <v>20832</v>
      </c>
      <c r="H37" s="45">
        <f>I4-I5-I6</f>
        <v>8479</v>
      </c>
    </row>
    <row r="38" spans="1:14" x14ac:dyDescent="0.2">
      <c r="A38" s="64" t="s">
        <v>91</v>
      </c>
      <c r="B38" s="64" t="s">
        <v>83</v>
      </c>
      <c r="C38" s="64" t="s">
        <v>83</v>
      </c>
      <c r="D38" s="64" t="s">
        <v>83</v>
      </c>
      <c r="E38" s="64" t="s">
        <v>83</v>
      </c>
    </row>
    <row r="39" spans="1:14" x14ac:dyDescent="0.2">
      <c r="A39" s="64" t="s">
        <v>92</v>
      </c>
      <c r="B39" s="65">
        <v>22966</v>
      </c>
      <c r="C39" s="65">
        <v>26223</v>
      </c>
      <c r="D39" s="65">
        <v>21870</v>
      </c>
      <c r="E39" s="65">
        <v>20255</v>
      </c>
      <c r="H39" s="98" t="s">
        <v>360</v>
      </c>
      <c r="I39" s="75"/>
      <c r="J39" s="75"/>
      <c r="K39" s="75"/>
      <c r="L39" s="75"/>
    </row>
    <row r="40" spans="1:14" x14ac:dyDescent="0.2">
      <c r="A40" s="64" t="s">
        <v>93</v>
      </c>
      <c r="B40" s="64" t="s">
        <v>83</v>
      </c>
      <c r="C40" s="64" t="s">
        <v>83</v>
      </c>
      <c r="D40" s="64" t="s">
        <v>83</v>
      </c>
      <c r="E40" s="64" t="s">
        <v>83</v>
      </c>
      <c r="H40" s="97"/>
    </row>
    <row r="41" spans="1:14" x14ac:dyDescent="0.2">
      <c r="A41" s="64" t="s">
        <v>94</v>
      </c>
      <c r="B41" s="65">
        <v>22966</v>
      </c>
      <c r="C41" s="65">
        <v>26223</v>
      </c>
      <c r="D41" s="65">
        <v>21870</v>
      </c>
      <c r="E41" s="65">
        <v>20255</v>
      </c>
      <c r="H41" s="74" t="s">
        <v>367</v>
      </c>
      <c r="I41" s="75"/>
      <c r="J41" s="75"/>
      <c r="K41" s="75"/>
    </row>
    <row r="42" spans="1:14" x14ac:dyDescent="0.2">
      <c r="A42" s="64" t="s">
        <v>95</v>
      </c>
      <c r="B42" s="65">
        <v>56219</v>
      </c>
      <c r="C42" s="65">
        <v>51654</v>
      </c>
      <c r="D42" s="65">
        <v>48494</v>
      </c>
      <c r="E42" s="65">
        <v>46527</v>
      </c>
    </row>
    <row r="43" spans="1:14" x14ac:dyDescent="0.2">
      <c r="A43" s="64" t="s">
        <v>96</v>
      </c>
      <c r="B43" s="65">
        <v>21851</v>
      </c>
      <c r="C43" s="65">
        <v>23645</v>
      </c>
      <c r="D43" s="65">
        <v>19588</v>
      </c>
      <c r="E43" s="65">
        <v>19885</v>
      </c>
    </row>
    <row r="44" spans="1:14" x14ac:dyDescent="0.2">
      <c r="A44" s="64" t="s">
        <v>97</v>
      </c>
      <c r="B44" s="65">
        <v>0</v>
      </c>
      <c r="C44" s="65">
        <v>0</v>
      </c>
      <c r="D44" s="65">
        <v>0</v>
      </c>
      <c r="E44" s="65">
        <v>0</v>
      </c>
    </row>
    <row r="45" spans="1:14" x14ac:dyDescent="0.2">
      <c r="A45" s="64" t="s">
        <v>98</v>
      </c>
      <c r="B45" s="65">
        <v>0</v>
      </c>
      <c r="C45" s="65">
        <v>0</v>
      </c>
      <c r="D45" s="65">
        <v>0</v>
      </c>
      <c r="E45" s="65">
        <v>0</v>
      </c>
    </row>
    <row r="46" spans="1:14" x14ac:dyDescent="0.2">
      <c r="A46" s="64" t="s">
        <v>99</v>
      </c>
      <c r="B46" s="65">
        <v>0</v>
      </c>
      <c r="C46" s="65">
        <v>0</v>
      </c>
      <c r="D46" s="65">
        <v>0</v>
      </c>
      <c r="E46" s="65">
        <v>0</v>
      </c>
    </row>
    <row r="47" spans="1:14" x14ac:dyDescent="0.2">
      <c r="A47" s="64" t="s">
        <v>100</v>
      </c>
      <c r="B47" s="65">
        <v>0</v>
      </c>
      <c r="C47" s="65">
        <v>0</v>
      </c>
      <c r="D47" s="65">
        <v>0</v>
      </c>
      <c r="E47" s="65">
        <v>0</v>
      </c>
    </row>
    <row r="48" spans="1:14" x14ac:dyDescent="0.2">
      <c r="A48" s="64" t="s">
        <v>101</v>
      </c>
      <c r="B48" s="65">
        <v>17252</v>
      </c>
      <c r="C48" s="65">
        <v>19252</v>
      </c>
      <c r="D48" s="65">
        <v>16559</v>
      </c>
      <c r="E48" s="65">
        <v>16025</v>
      </c>
    </row>
    <row r="49" spans="1:5" x14ac:dyDescent="0.2">
      <c r="A49" s="64" t="s">
        <v>102</v>
      </c>
      <c r="B49" s="64" t="s">
        <v>83</v>
      </c>
      <c r="C49" s="64" t="s">
        <v>83</v>
      </c>
      <c r="D49" s="64" t="s">
        <v>83</v>
      </c>
      <c r="E49" s="64" t="s">
        <v>83</v>
      </c>
    </row>
    <row r="50" spans="1:5" x14ac:dyDescent="0.2">
      <c r="A50" s="64" t="s">
        <v>103</v>
      </c>
      <c r="B50" s="65">
        <v>10990</v>
      </c>
      <c r="C50" s="65">
        <v>11505</v>
      </c>
      <c r="D50" s="65">
        <v>10492</v>
      </c>
      <c r="E50" s="65">
        <v>9521</v>
      </c>
    </row>
    <row r="51" spans="1:5" x14ac:dyDescent="0.2">
      <c r="A51" s="64" t="s">
        <v>104</v>
      </c>
      <c r="B51" s="65">
        <v>0</v>
      </c>
      <c r="C51" s="65">
        <v>0</v>
      </c>
      <c r="D51" s="65">
        <v>0</v>
      </c>
      <c r="E51" s="65">
        <v>0</v>
      </c>
    </row>
    <row r="52" spans="1:5" x14ac:dyDescent="0.2">
      <c r="A52" s="64" t="s">
        <v>105</v>
      </c>
      <c r="B52" s="65">
        <v>16245</v>
      </c>
      <c r="C52" s="65">
        <v>17337</v>
      </c>
      <c r="D52" s="65">
        <v>16316</v>
      </c>
      <c r="E52" s="65">
        <v>14721</v>
      </c>
    </row>
    <row r="53" spans="1:5" x14ac:dyDescent="0.2">
      <c r="A53" s="64" t="s">
        <v>106</v>
      </c>
      <c r="B53" s="64" t="s">
        <v>83</v>
      </c>
      <c r="C53" s="64" t="s">
        <v>83</v>
      </c>
      <c r="D53" s="64" t="s">
        <v>83</v>
      </c>
      <c r="E53" s="64" t="s">
        <v>83</v>
      </c>
    </row>
    <row r="54" spans="1:5" x14ac:dyDescent="0.2">
      <c r="A54" s="64" t="s">
        <v>107</v>
      </c>
      <c r="B54" s="64" t="s">
        <v>83</v>
      </c>
      <c r="C54" s="64" t="s">
        <v>83</v>
      </c>
      <c r="D54" s="64" t="s">
        <v>83</v>
      </c>
      <c r="E54" s="64" t="s">
        <v>83</v>
      </c>
    </row>
    <row r="55" spans="1:5" x14ac:dyDescent="0.2">
      <c r="A55" s="64" t="s">
        <v>108</v>
      </c>
      <c r="B55" s="65">
        <v>0</v>
      </c>
      <c r="C55" s="65">
        <v>0</v>
      </c>
      <c r="D55" s="65">
        <v>0</v>
      </c>
      <c r="E55" s="65">
        <v>0</v>
      </c>
    </row>
    <row r="56" spans="1:5" x14ac:dyDescent="0.2">
      <c r="A56" s="64" t="s">
        <v>109</v>
      </c>
      <c r="B56" s="65">
        <v>0</v>
      </c>
      <c r="C56" s="65">
        <v>0</v>
      </c>
      <c r="D56" s="65">
        <v>0</v>
      </c>
      <c r="E56" s="65">
        <v>0</v>
      </c>
    </row>
    <row r="57" spans="1:5" x14ac:dyDescent="0.2">
      <c r="A57" s="64" t="s">
        <v>110</v>
      </c>
      <c r="B57" s="64" t="s">
        <v>83</v>
      </c>
      <c r="C57" s="64" t="s">
        <v>83</v>
      </c>
      <c r="D57" s="64" t="s">
        <v>83</v>
      </c>
      <c r="E57" s="64" t="s">
        <v>83</v>
      </c>
    </row>
    <row r="58" spans="1:5" x14ac:dyDescent="0.2">
      <c r="A58" s="1" t="s">
        <v>111</v>
      </c>
    </row>
    <row r="59" spans="1:5" x14ac:dyDescent="0.2">
      <c r="A59" s="64" t="s">
        <v>112</v>
      </c>
      <c r="B59" s="65">
        <v>0</v>
      </c>
      <c r="C59" s="65">
        <v>0</v>
      </c>
      <c r="D59" s="65">
        <v>0</v>
      </c>
      <c r="E59" s="65">
        <v>0</v>
      </c>
    </row>
    <row r="60" spans="1:5" x14ac:dyDescent="0.2">
      <c r="A60" s="64" t="s">
        <v>113</v>
      </c>
      <c r="B60" s="65">
        <v>0</v>
      </c>
      <c r="C60" s="65">
        <v>0</v>
      </c>
      <c r="D60" s="65">
        <v>0</v>
      </c>
      <c r="E60" s="65">
        <v>0</v>
      </c>
    </row>
    <row r="61" spans="1:5" x14ac:dyDescent="0.2">
      <c r="A61" s="64" t="s">
        <v>114</v>
      </c>
      <c r="B61" s="65">
        <v>0</v>
      </c>
      <c r="C61" s="65">
        <v>0</v>
      </c>
      <c r="D61" s="65">
        <v>0</v>
      </c>
      <c r="E61" s="65">
        <v>0</v>
      </c>
    </row>
    <row r="62" spans="1:5" x14ac:dyDescent="0.2">
      <c r="A62" s="64" t="s">
        <v>115</v>
      </c>
      <c r="B62" s="65">
        <v>-1685</v>
      </c>
      <c r="C62" s="65">
        <v>-3122</v>
      </c>
      <c r="D62" s="65">
        <v>-2404</v>
      </c>
      <c r="E62" s="65">
        <v>-1482</v>
      </c>
    </row>
    <row r="63" spans="1:5" x14ac:dyDescent="0.2">
      <c r="A63" s="64" t="s">
        <v>116</v>
      </c>
      <c r="B63" s="65">
        <v>8</v>
      </c>
      <c r="C63" s="65">
        <v>8</v>
      </c>
      <c r="D63" s="65">
        <v>8</v>
      </c>
      <c r="E63" s="65">
        <v>8</v>
      </c>
    </row>
    <row r="64" spans="1:5" x14ac:dyDescent="0.2">
      <c r="A64" s="64" t="s">
        <v>117</v>
      </c>
      <c r="B64" s="65">
        <v>7890</v>
      </c>
      <c r="C64" s="65">
        <v>8416</v>
      </c>
      <c r="D64" s="65">
        <v>8918</v>
      </c>
      <c r="E64" s="65">
        <v>9111</v>
      </c>
    </row>
    <row r="65" spans="1:5" x14ac:dyDescent="0.2">
      <c r="A65" s="64" t="s">
        <v>118</v>
      </c>
      <c r="B65" s="65">
        <v>-8619</v>
      </c>
      <c r="C65" s="65">
        <v>-7733</v>
      </c>
      <c r="D65" s="65">
        <v>-5430</v>
      </c>
      <c r="E65" s="65">
        <v>-2099</v>
      </c>
    </row>
    <row r="66" spans="1:5" x14ac:dyDescent="0.2">
      <c r="A66" s="64" t="s">
        <v>119</v>
      </c>
      <c r="B66" s="65">
        <v>964</v>
      </c>
      <c r="C66" s="65">
        <v>3813</v>
      </c>
      <c r="D66" s="65">
        <v>5900</v>
      </c>
      <c r="E66" s="65">
        <v>8502</v>
      </c>
    </row>
    <row r="67" spans="1:5" x14ac:dyDescent="0.2">
      <c r="A67" s="64" t="s">
        <v>120</v>
      </c>
      <c r="B67" s="65">
        <v>-1685</v>
      </c>
      <c r="C67" s="65">
        <v>-3122</v>
      </c>
      <c r="D67" s="65">
        <v>-2404</v>
      </c>
      <c r="E67" s="65">
        <v>-1482</v>
      </c>
    </row>
    <row r="68" spans="1:5" x14ac:dyDescent="0.2">
      <c r="A68" s="64" t="s">
        <v>121</v>
      </c>
      <c r="B68" s="65">
        <v>105</v>
      </c>
      <c r="C68" s="65">
        <v>97</v>
      </c>
      <c r="D68" s="65">
        <v>95</v>
      </c>
      <c r="E68" s="65">
        <v>95</v>
      </c>
    </row>
    <row r="69" spans="1:5" x14ac:dyDescent="0.2">
      <c r="A69" s="64" t="s">
        <v>122</v>
      </c>
      <c r="B69" s="65">
        <v>-1580</v>
      </c>
      <c r="C69" s="65">
        <v>-3025</v>
      </c>
      <c r="D69" s="65">
        <v>-2309</v>
      </c>
      <c r="E69" s="65">
        <v>-1387</v>
      </c>
    </row>
    <row r="70" spans="1:5" x14ac:dyDescent="0.2">
      <c r="A70" s="64" t="s">
        <v>123</v>
      </c>
      <c r="B70" s="65">
        <v>92735</v>
      </c>
      <c r="C70" s="65">
        <v>89611</v>
      </c>
      <c r="D70" s="65">
        <v>82089</v>
      </c>
      <c r="E70" s="65">
        <v>79746</v>
      </c>
    </row>
    <row r="71" spans="1:5" x14ac:dyDescent="0.2">
      <c r="A71" s="1"/>
    </row>
    <row r="72" spans="1:5" x14ac:dyDescent="0.2">
      <c r="A72" s="63" t="s">
        <v>334</v>
      </c>
    </row>
    <row r="73" spans="1:5" x14ac:dyDescent="0.2">
      <c r="A73" s="64" t="s">
        <v>124</v>
      </c>
      <c r="B73" s="65">
        <v>101197</v>
      </c>
      <c r="C73" s="65">
        <v>102301</v>
      </c>
      <c r="D73" s="65">
        <v>88425</v>
      </c>
      <c r="E73" s="65">
        <v>95567</v>
      </c>
    </row>
    <row r="74" spans="1:5" x14ac:dyDescent="0.2">
      <c r="A74" s="64" t="s">
        <v>125</v>
      </c>
      <c r="B74" s="65">
        <v>76802</v>
      </c>
      <c r="C74" s="65">
        <v>76907</v>
      </c>
      <c r="D74" s="65">
        <v>64655</v>
      </c>
      <c r="E74" s="65">
        <v>71468</v>
      </c>
    </row>
    <row r="75" spans="1:5" x14ac:dyDescent="0.2">
      <c r="A75" s="64" t="s">
        <v>126</v>
      </c>
      <c r="B75" s="65">
        <v>15916</v>
      </c>
      <c r="C75" s="65">
        <v>15918</v>
      </c>
      <c r="D75" s="65">
        <v>14596</v>
      </c>
      <c r="E75" s="65">
        <v>14046</v>
      </c>
    </row>
    <row r="76" spans="1:5" x14ac:dyDescent="0.2">
      <c r="A76" s="64" t="s">
        <v>127</v>
      </c>
      <c r="B76" s="65">
        <v>8479</v>
      </c>
      <c r="C76" s="65">
        <v>9476</v>
      </c>
      <c r="D76" s="65">
        <v>9174</v>
      </c>
      <c r="E76" s="65">
        <v>10053</v>
      </c>
    </row>
    <row r="77" spans="1:5" x14ac:dyDescent="0.2">
      <c r="A77" s="64" t="s">
        <v>128</v>
      </c>
      <c r="B77" s="65">
        <v>3547</v>
      </c>
      <c r="C77" s="65">
        <v>3156</v>
      </c>
      <c r="D77" s="65">
        <v>3303</v>
      </c>
      <c r="E77" s="65">
        <v>3123</v>
      </c>
    </row>
    <row r="78" spans="1:5" x14ac:dyDescent="0.2">
      <c r="A78" s="64" t="s">
        <v>129</v>
      </c>
      <c r="B78" s="65">
        <v>1863</v>
      </c>
      <c r="C78" s="65">
        <v>1287</v>
      </c>
      <c r="D78" s="65">
        <v>1235</v>
      </c>
      <c r="E78" s="65">
        <v>992</v>
      </c>
    </row>
    <row r="79" spans="1:5" x14ac:dyDescent="0.2">
      <c r="A79" s="64" t="s">
        <v>130</v>
      </c>
      <c r="B79" s="64" t="s">
        <v>83</v>
      </c>
      <c r="C79" s="64" t="s">
        <v>83</v>
      </c>
      <c r="D79" s="64" t="s">
        <v>83</v>
      </c>
      <c r="E79" s="64" t="s">
        <v>83</v>
      </c>
    </row>
    <row r="80" spans="1:5" x14ac:dyDescent="0.2">
      <c r="A80" s="64" t="s">
        <v>131</v>
      </c>
      <c r="B80" s="64" t="s">
        <v>83</v>
      </c>
      <c r="C80" s="64" t="s">
        <v>83</v>
      </c>
      <c r="D80" s="64" t="s">
        <v>83</v>
      </c>
      <c r="E80" s="64" t="s">
        <v>83</v>
      </c>
    </row>
    <row r="81" spans="1:5" x14ac:dyDescent="0.2">
      <c r="A81" s="64" t="s">
        <v>132</v>
      </c>
      <c r="B81" s="65">
        <v>4932</v>
      </c>
      <c r="C81" s="65">
        <v>6320</v>
      </c>
      <c r="D81" s="65">
        <v>5871</v>
      </c>
      <c r="E81" s="65">
        <v>6930</v>
      </c>
    </row>
    <row r="82" spans="1:5" x14ac:dyDescent="0.2">
      <c r="A82" s="64" t="s">
        <v>133</v>
      </c>
      <c r="B82" s="65">
        <v>1542</v>
      </c>
      <c r="C82" s="65">
        <v>1222</v>
      </c>
      <c r="D82" s="65">
        <v>1501</v>
      </c>
      <c r="E82" s="65">
        <v>1394</v>
      </c>
    </row>
    <row r="83" spans="1:5" x14ac:dyDescent="0.2">
      <c r="A83" s="64" t="s">
        <v>134</v>
      </c>
      <c r="B83" s="65">
        <v>410</v>
      </c>
      <c r="C83" s="65">
        <v>-259</v>
      </c>
      <c r="D83" s="65">
        <v>109</v>
      </c>
      <c r="E83" s="65">
        <v>205</v>
      </c>
    </row>
    <row r="84" spans="1:5" x14ac:dyDescent="0.2">
      <c r="A84" s="64" t="s">
        <v>135</v>
      </c>
      <c r="B84" s="65">
        <v>410</v>
      </c>
      <c r="C84" s="65">
        <v>-259</v>
      </c>
      <c r="D84" s="65">
        <v>109</v>
      </c>
      <c r="E84" s="65">
        <v>205</v>
      </c>
    </row>
    <row r="85" spans="1:5" x14ac:dyDescent="0.2">
      <c r="A85" s="64" t="s">
        <v>136</v>
      </c>
      <c r="B85" s="64" t="s">
        <v>83</v>
      </c>
      <c r="C85" s="64" t="s">
        <v>83</v>
      </c>
      <c r="D85" s="64" t="s">
        <v>83</v>
      </c>
      <c r="E85" s="64" t="s">
        <v>83</v>
      </c>
    </row>
    <row r="86" spans="1:5" x14ac:dyDescent="0.2">
      <c r="A86" s="64" t="s">
        <v>137</v>
      </c>
      <c r="B86" s="65">
        <v>2123</v>
      </c>
      <c r="C86" s="65">
        <v>-1614</v>
      </c>
      <c r="D86" s="65">
        <v>-592</v>
      </c>
      <c r="E86" s="65">
        <v>-693</v>
      </c>
    </row>
    <row r="87" spans="1:5" x14ac:dyDescent="0.2">
      <c r="A87" s="64" t="s">
        <v>138</v>
      </c>
      <c r="B87" s="65">
        <v>5923</v>
      </c>
      <c r="C87" s="65">
        <v>3225</v>
      </c>
      <c r="D87" s="65">
        <v>3887</v>
      </c>
      <c r="E87" s="65">
        <v>5048</v>
      </c>
    </row>
    <row r="88" spans="1:5" x14ac:dyDescent="0.2">
      <c r="A88" s="64" t="s">
        <v>139</v>
      </c>
      <c r="B88" s="65">
        <v>1414</v>
      </c>
      <c r="C88" s="65">
        <v>-1316</v>
      </c>
      <c r="D88" s="65">
        <v>-52</v>
      </c>
      <c r="E88" s="65">
        <v>-73</v>
      </c>
    </row>
    <row r="89" spans="1:5" x14ac:dyDescent="0.2">
      <c r="A89" s="64" t="s">
        <v>140</v>
      </c>
      <c r="B89" s="65">
        <v>4509</v>
      </c>
      <c r="C89" s="65">
        <v>4541</v>
      </c>
      <c r="D89" s="65">
        <v>3939</v>
      </c>
      <c r="E89" s="65">
        <v>5121</v>
      </c>
    </row>
    <row r="90" spans="1:5" x14ac:dyDescent="0.2">
      <c r="A90" s="64" t="s">
        <v>141</v>
      </c>
      <c r="B90" s="65">
        <v>981</v>
      </c>
      <c r="C90" s="65">
        <v>803</v>
      </c>
      <c r="D90" s="65">
        <v>692</v>
      </c>
      <c r="E90" s="65">
        <v>472</v>
      </c>
    </row>
    <row r="91" spans="1:5" x14ac:dyDescent="0.2">
      <c r="A91" s="64" t="s">
        <v>142</v>
      </c>
      <c r="B91" s="65">
        <v>-221</v>
      </c>
      <c r="C91" s="65">
        <v>-717</v>
      </c>
      <c r="D91" s="65">
        <v>-91</v>
      </c>
      <c r="E91" s="65">
        <v>-208</v>
      </c>
    </row>
    <row r="92" spans="1:5" x14ac:dyDescent="0.2">
      <c r="A92" s="64" t="s">
        <v>143</v>
      </c>
      <c r="B92" s="65">
        <v>-54</v>
      </c>
      <c r="C92" s="65">
        <v>-483</v>
      </c>
      <c r="D92" s="65">
        <v>-106</v>
      </c>
      <c r="E92" s="65">
        <v>-220</v>
      </c>
    </row>
    <row r="93" spans="1:5" x14ac:dyDescent="0.2">
      <c r="A93" s="64" t="s">
        <v>144</v>
      </c>
      <c r="B93" s="65">
        <v>-167</v>
      </c>
      <c r="C93" s="65">
        <v>-131</v>
      </c>
      <c r="D93" s="65">
        <v>57</v>
      </c>
      <c r="E93" s="65">
        <v>24</v>
      </c>
    </row>
    <row r="94" spans="1:5" x14ac:dyDescent="0.2">
      <c r="A94" s="64" t="s">
        <v>145</v>
      </c>
      <c r="B94" s="65">
        <v>0</v>
      </c>
      <c r="C94" s="65">
        <v>-103</v>
      </c>
      <c r="D94" s="65">
        <v>-42</v>
      </c>
      <c r="E94" s="65">
        <v>-12</v>
      </c>
    </row>
    <row r="95" spans="1:5" x14ac:dyDescent="0.2">
      <c r="A95" s="64" t="s">
        <v>146</v>
      </c>
      <c r="B95" s="65">
        <v>166</v>
      </c>
      <c r="C95" s="65">
        <v>605</v>
      </c>
      <c r="D95" s="65">
        <v>149</v>
      </c>
      <c r="E95" s="65">
        <v>-84</v>
      </c>
    </row>
    <row r="96" spans="1:5" x14ac:dyDescent="0.2">
      <c r="A96" s="64" t="s">
        <v>147</v>
      </c>
      <c r="B96" s="65">
        <v>960</v>
      </c>
      <c r="C96" s="65">
        <v>739</v>
      </c>
      <c r="D96" s="65">
        <v>601</v>
      </c>
      <c r="E96" s="65">
        <v>785</v>
      </c>
    </row>
    <row r="97" spans="1:5" x14ac:dyDescent="0.2">
      <c r="A97" s="64" t="s">
        <v>148</v>
      </c>
      <c r="B97" s="65">
        <v>76</v>
      </c>
      <c r="C97" s="65">
        <v>176</v>
      </c>
      <c r="D97" s="65">
        <v>33</v>
      </c>
      <c r="E97" s="65">
        <v>-21</v>
      </c>
    </row>
    <row r="98" spans="1:5" x14ac:dyDescent="0.2">
      <c r="A98" s="64" t="s">
        <v>149</v>
      </c>
      <c r="B98" s="65">
        <v>0</v>
      </c>
      <c r="C98" s="65">
        <v>0</v>
      </c>
      <c r="D98" s="65">
        <v>0</v>
      </c>
      <c r="E98" s="65">
        <v>0</v>
      </c>
    </row>
    <row r="99" spans="1:5" x14ac:dyDescent="0.2">
      <c r="A99" s="64" t="s">
        <v>150</v>
      </c>
      <c r="B99" s="65">
        <v>-6</v>
      </c>
      <c r="C99" s="65">
        <v>-20</v>
      </c>
      <c r="D99" s="65">
        <v>-16</v>
      </c>
      <c r="E99" s="65">
        <v>-16</v>
      </c>
    </row>
    <row r="100" spans="1:5" x14ac:dyDescent="0.2">
      <c r="A100" s="64" t="s">
        <v>151</v>
      </c>
      <c r="B100" s="65">
        <v>4948</v>
      </c>
      <c r="C100" s="65">
        <v>2442</v>
      </c>
      <c r="D100" s="65">
        <v>3211</v>
      </c>
      <c r="E100" s="65">
        <v>4592</v>
      </c>
    </row>
    <row r="101" spans="1:5" x14ac:dyDescent="0.2">
      <c r="A101" s="64" t="s">
        <v>152</v>
      </c>
      <c r="B101" s="65">
        <v>0</v>
      </c>
      <c r="C101" s="65">
        <v>0</v>
      </c>
      <c r="D101" s="65">
        <v>0</v>
      </c>
      <c r="E101" s="65">
        <v>0</v>
      </c>
    </row>
    <row r="102" spans="1:5" x14ac:dyDescent="0.2">
      <c r="A102" s="64" t="s">
        <v>153</v>
      </c>
      <c r="B102" s="65">
        <v>4948</v>
      </c>
      <c r="C102" s="65">
        <v>2442</v>
      </c>
      <c r="D102" s="65">
        <v>3211</v>
      </c>
      <c r="E102" s="65">
        <v>4592</v>
      </c>
    </row>
    <row r="103" spans="1:5" x14ac:dyDescent="0.2">
      <c r="A103" s="64" t="s">
        <v>154</v>
      </c>
      <c r="B103" s="65">
        <v>0</v>
      </c>
      <c r="C103" s="65">
        <v>0</v>
      </c>
      <c r="D103" s="65">
        <v>0</v>
      </c>
      <c r="E103" s="65">
        <v>0</v>
      </c>
    </row>
    <row r="104" spans="1:5" x14ac:dyDescent="0.2">
      <c r="A104" s="64" t="s">
        <v>155</v>
      </c>
      <c r="B104" s="65">
        <v>4948</v>
      </c>
      <c r="C104" s="65">
        <v>2442</v>
      </c>
      <c r="D104" s="65">
        <v>3211</v>
      </c>
      <c r="E104" s="65">
        <v>4592</v>
      </c>
    </row>
    <row r="105" spans="1:5" x14ac:dyDescent="0.2">
      <c r="A105" s="64" t="s">
        <v>156</v>
      </c>
      <c r="B105" s="65">
        <v>615</v>
      </c>
      <c r="C105" s="65">
        <v>0</v>
      </c>
      <c r="D105" s="65">
        <v>0</v>
      </c>
      <c r="E105" s="65">
        <v>0</v>
      </c>
    </row>
    <row r="106" spans="1:5" x14ac:dyDescent="0.2">
      <c r="A106" s="64" t="s">
        <v>157</v>
      </c>
      <c r="B106" s="65">
        <v>0</v>
      </c>
      <c r="C106" s="65">
        <v>0</v>
      </c>
      <c r="D106" s="65">
        <v>0</v>
      </c>
      <c r="E106" s="65">
        <v>0</v>
      </c>
    </row>
    <row r="107" spans="1:5" x14ac:dyDescent="0.2">
      <c r="A107" s="64" t="s">
        <v>158</v>
      </c>
      <c r="B107" s="65">
        <v>615</v>
      </c>
      <c r="C107" s="65">
        <v>0</v>
      </c>
      <c r="D107" s="65">
        <v>0</v>
      </c>
      <c r="E107" s="65">
        <v>0</v>
      </c>
    </row>
    <row r="108" spans="1:5" x14ac:dyDescent="0.2">
      <c r="A108" s="64" t="s">
        <v>159</v>
      </c>
      <c r="B108" s="65">
        <v>5563</v>
      </c>
      <c r="C108" s="65">
        <v>2442</v>
      </c>
      <c r="D108" s="65">
        <v>3211</v>
      </c>
      <c r="E108" s="65">
        <v>4592</v>
      </c>
    </row>
    <row r="109" spans="1:5" x14ac:dyDescent="0.2">
      <c r="A109" s="64" t="s">
        <v>160</v>
      </c>
      <c r="B109" s="65">
        <v>5563</v>
      </c>
      <c r="C109" s="65">
        <v>2442</v>
      </c>
      <c r="D109" s="65">
        <v>3211</v>
      </c>
      <c r="E109" s="65">
        <v>4592</v>
      </c>
    </row>
    <row r="110" spans="1:5" x14ac:dyDescent="0.2">
      <c r="A110" s="1"/>
    </row>
    <row r="111" spans="1:5" x14ac:dyDescent="0.2">
      <c r="A111" s="63" t="s">
        <v>321</v>
      </c>
    </row>
    <row r="112" spans="1:5" x14ac:dyDescent="0.2">
      <c r="A112" s="1" t="s">
        <v>161</v>
      </c>
    </row>
    <row r="113" spans="1:5" x14ac:dyDescent="0.2">
      <c r="A113" s="64" t="s">
        <v>151</v>
      </c>
      <c r="B113" s="65">
        <v>4942</v>
      </c>
      <c r="C113" s="65">
        <v>2422</v>
      </c>
      <c r="D113" s="65">
        <v>3195</v>
      </c>
      <c r="E113" s="65">
        <v>4576</v>
      </c>
    </row>
    <row r="114" spans="1:5" x14ac:dyDescent="0.2">
      <c r="A114" s="64" t="s">
        <v>128</v>
      </c>
      <c r="B114" s="65">
        <v>3547</v>
      </c>
      <c r="C114" s="65">
        <v>3156</v>
      </c>
      <c r="D114" s="65">
        <v>3303</v>
      </c>
      <c r="E114" s="65">
        <v>3123</v>
      </c>
    </row>
    <row r="115" spans="1:5" x14ac:dyDescent="0.2">
      <c r="A115" s="64" t="s">
        <v>156</v>
      </c>
      <c r="B115" s="65">
        <v>1769</v>
      </c>
      <c r="C115" s="65">
        <v>0</v>
      </c>
      <c r="D115" s="65">
        <v>0</v>
      </c>
      <c r="E115" s="65">
        <v>0</v>
      </c>
    </row>
    <row r="116" spans="1:5" x14ac:dyDescent="0.2">
      <c r="A116" s="64" t="s">
        <v>162</v>
      </c>
      <c r="B116" s="65">
        <v>-365</v>
      </c>
      <c r="C116" s="65">
        <v>-717</v>
      </c>
      <c r="D116" s="65">
        <v>-91</v>
      </c>
      <c r="E116" s="65">
        <v>-208</v>
      </c>
    </row>
    <row r="117" spans="1:5" x14ac:dyDescent="0.2">
      <c r="A117" s="64" t="s">
        <v>163</v>
      </c>
      <c r="B117" s="65">
        <v>0</v>
      </c>
      <c r="C117" s="65">
        <v>0</v>
      </c>
      <c r="D117" s="65">
        <v>0</v>
      </c>
      <c r="E117" s="65">
        <v>0</v>
      </c>
    </row>
    <row r="118" spans="1:5" x14ac:dyDescent="0.2">
      <c r="A118" s="64" t="s">
        <v>164</v>
      </c>
      <c r="B118" s="64" t="s">
        <v>83</v>
      </c>
      <c r="C118" s="65">
        <v>0</v>
      </c>
      <c r="D118" s="65">
        <v>0</v>
      </c>
      <c r="E118" s="65">
        <v>0</v>
      </c>
    </row>
    <row r="119" spans="1:5" x14ac:dyDescent="0.2">
      <c r="A119" s="64" t="s">
        <v>165</v>
      </c>
      <c r="B119" s="65">
        <v>-1508</v>
      </c>
      <c r="C119" s="65">
        <v>1892</v>
      </c>
      <c r="D119" s="65">
        <v>1487</v>
      </c>
      <c r="E119" s="65">
        <v>1238</v>
      </c>
    </row>
    <row r="120" spans="1:5" x14ac:dyDescent="0.2">
      <c r="A120" s="64" t="s">
        <v>166</v>
      </c>
      <c r="B120" s="65">
        <v>-2434</v>
      </c>
      <c r="C120" s="65">
        <v>-348</v>
      </c>
      <c r="D120" s="64" t="s">
        <v>83</v>
      </c>
      <c r="E120" s="65">
        <v>-2246</v>
      </c>
    </row>
    <row r="121" spans="1:5" x14ac:dyDescent="0.2">
      <c r="A121" s="64" t="s">
        <v>167</v>
      </c>
      <c r="B121" s="65">
        <v>-2514</v>
      </c>
      <c r="C121" s="65">
        <v>875</v>
      </c>
      <c r="D121" s="65">
        <v>975</v>
      </c>
      <c r="E121" s="65">
        <v>-3515</v>
      </c>
    </row>
    <row r="122" spans="1:5" x14ac:dyDescent="0.2">
      <c r="A122" s="64" t="s">
        <v>168</v>
      </c>
      <c r="B122" s="65">
        <v>5742</v>
      </c>
      <c r="C122" s="65">
        <v>-8546</v>
      </c>
      <c r="D122" s="65">
        <v>-335</v>
      </c>
      <c r="E122" s="65">
        <v>1703</v>
      </c>
    </row>
    <row r="123" spans="1:5" x14ac:dyDescent="0.2">
      <c r="A123" s="64" t="s">
        <v>169</v>
      </c>
      <c r="B123" s="64" t="s">
        <v>83</v>
      </c>
      <c r="C123" s="64" t="s">
        <v>83</v>
      </c>
      <c r="D123" s="64" t="s">
        <v>83</v>
      </c>
      <c r="E123" s="64" t="s">
        <v>83</v>
      </c>
    </row>
    <row r="124" spans="1:5" x14ac:dyDescent="0.2">
      <c r="A124" s="64" t="s">
        <v>170</v>
      </c>
      <c r="B124" s="65">
        <v>1128</v>
      </c>
      <c r="C124" s="65">
        <v>4831</v>
      </c>
      <c r="D124" s="65">
        <v>142</v>
      </c>
      <c r="E124" s="65">
        <v>-150</v>
      </c>
    </row>
    <row r="125" spans="1:5" x14ac:dyDescent="0.2">
      <c r="A125" s="64" t="s">
        <v>171</v>
      </c>
      <c r="B125" s="65">
        <v>10307</v>
      </c>
      <c r="C125" s="65">
        <v>3565</v>
      </c>
      <c r="D125" s="65">
        <v>8676</v>
      </c>
      <c r="E125" s="65">
        <v>4521</v>
      </c>
    </row>
    <row r="126" spans="1:5" x14ac:dyDescent="0.2">
      <c r="A126" s="1" t="s">
        <v>172</v>
      </c>
    </row>
    <row r="127" spans="1:5" x14ac:dyDescent="0.2">
      <c r="A127" s="64" t="s">
        <v>173</v>
      </c>
      <c r="B127" s="65">
        <v>414</v>
      </c>
      <c r="C127" s="65">
        <v>108</v>
      </c>
      <c r="D127" s="65">
        <v>172</v>
      </c>
      <c r="E127" s="65">
        <v>125</v>
      </c>
    </row>
    <row r="128" spans="1:5" x14ac:dyDescent="0.2">
      <c r="A128" s="64" t="s">
        <v>174</v>
      </c>
      <c r="B128" s="65">
        <v>513</v>
      </c>
      <c r="C128" s="65">
        <v>116</v>
      </c>
      <c r="D128" s="65">
        <v>226</v>
      </c>
      <c r="E128" s="65">
        <v>382</v>
      </c>
    </row>
    <row r="129" spans="1:5" x14ac:dyDescent="0.2">
      <c r="A129" s="64" t="s">
        <v>175</v>
      </c>
      <c r="B129" s="64" t="s">
        <v>83</v>
      </c>
      <c r="C129" s="64" t="s">
        <v>83</v>
      </c>
      <c r="D129" s="64" t="s">
        <v>83</v>
      </c>
      <c r="E129" s="64" t="s">
        <v>83</v>
      </c>
    </row>
    <row r="130" spans="1:5" x14ac:dyDescent="0.2">
      <c r="A130" s="64" t="s">
        <v>176</v>
      </c>
      <c r="B130" s="65">
        <v>2796</v>
      </c>
      <c r="C130" s="65">
        <v>3003</v>
      </c>
      <c r="D130" s="65">
        <v>2756</v>
      </c>
      <c r="E130" s="65">
        <v>2652</v>
      </c>
    </row>
    <row r="131" spans="1:5" x14ac:dyDescent="0.2">
      <c r="A131" s="64" t="s">
        <v>177</v>
      </c>
      <c r="B131" s="64" t="s">
        <v>83</v>
      </c>
      <c r="C131" s="64" t="s">
        <v>83</v>
      </c>
      <c r="D131" s="65">
        <v>0</v>
      </c>
      <c r="E131" s="65">
        <v>0</v>
      </c>
    </row>
    <row r="132" spans="1:5" x14ac:dyDescent="0.2">
      <c r="A132" s="64" t="s">
        <v>178</v>
      </c>
      <c r="B132" s="65">
        <v>16</v>
      </c>
      <c r="C132" s="65">
        <v>70</v>
      </c>
      <c r="D132" s="64" t="s">
        <v>83</v>
      </c>
      <c r="E132" s="65">
        <v>0</v>
      </c>
    </row>
    <row r="133" spans="1:5" x14ac:dyDescent="0.2">
      <c r="A133" s="64" t="s">
        <v>179</v>
      </c>
      <c r="B133" s="65">
        <v>4019</v>
      </c>
      <c r="C133" s="65">
        <v>41</v>
      </c>
      <c r="D133" s="65">
        <v>-81</v>
      </c>
      <c r="E133" s="65">
        <v>180</v>
      </c>
    </row>
    <row r="134" spans="1:5" x14ac:dyDescent="0.2">
      <c r="A134" s="64" t="s">
        <v>180</v>
      </c>
      <c r="B134" s="65">
        <v>1306</v>
      </c>
      <c r="C134" s="65">
        <v>-3024</v>
      </c>
      <c r="D134" s="65">
        <v>-2783</v>
      </c>
      <c r="E134" s="65">
        <v>-2215</v>
      </c>
    </row>
    <row r="135" spans="1:5" x14ac:dyDescent="0.2">
      <c r="A135" s="1" t="s">
        <v>181</v>
      </c>
    </row>
    <row r="136" spans="1:5" x14ac:dyDescent="0.2">
      <c r="A136" s="64" t="s">
        <v>182</v>
      </c>
      <c r="B136" s="65">
        <v>334</v>
      </c>
      <c r="C136" s="65">
        <v>5</v>
      </c>
      <c r="D136" s="65">
        <v>10</v>
      </c>
      <c r="E136" s="65">
        <v>1</v>
      </c>
    </row>
    <row r="137" spans="1:5" x14ac:dyDescent="0.2">
      <c r="A137" s="64" t="s">
        <v>183</v>
      </c>
      <c r="B137" s="65">
        <v>663</v>
      </c>
      <c r="C137" s="65">
        <v>3272</v>
      </c>
      <c r="D137" s="65">
        <v>2452</v>
      </c>
      <c r="E137" s="65">
        <v>3165</v>
      </c>
    </row>
    <row r="138" spans="1:5" x14ac:dyDescent="0.2">
      <c r="A138" s="64" t="s">
        <v>184</v>
      </c>
      <c r="B138" s="65">
        <v>0</v>
      </c>
      <c r="C138" s="65">
        <v>964</v>
      </c>
      <c r="D138" s="65">
        <v>1072</v>
      </c>
      <c r="E138" s="65">
        <v>1275</v>
      </c>
    </row>
    <row r="139" spans="1:5" x14ac:dyDescent="0.2">
      <c r="A139" s="64" t="s">
        <v>185</v>
      </c>
      <c r="B139" s="65">
        <v>20425</v>
      </c>
      <c r="C139" s="65">
        <v>12479</v>
      </c>
      <c r="D139" s="65">
        <v>7775</v>
      </c>
      <c r="E139" s="65">
        <v>9258</v>
      </c>
    </row>
    <row r="140" spans="1:5" x14ac:dyDescent="0.2">
      <c r="A140" s="64" t="s">
        <v>186</v>
      </c>
      <c r="B140" s="65">
        <v>26723</v>
      </c>
      <c r="C140" s="65">
        <v>9825</v>
      </c>
      <c r="D140" s="65">
        <v>11246</v>
      </c>
      <c r="E140" s="65">
        <v>10570</v>
      </c>
    </row>
    <row r="141" spans="1:5" x14ac:dyDescent="0.2">
      <c r="A141" s="64" t="s">
        <v>187</v>
      </c>
      <c r="B141" s="64" t="s">
        <v>83</v>
      </c>
      <c r="C141" s="64" t="s">
        <v>83</v>
      </c>
      <c r="D141" s="64" t="s">
        <v>83</v>
      </c>
      <c r="E141" s="64" t="s">
        <v>83</v>
      </c>
    </row>
    <row r="142" spans="1:5" x14ac:dyDescent="0.2">
      <c r="A142" s="64" t="s">
        <v>188</v>
      </c>
      <c r="B142" s="65">
        <v>-9982</v>
      </c>
      <c r="C142" s="65">
        <v>-48</v>
      </c>
      <c r="D142" s="65">
        <v>-109</v>
      </c>
      <c r="E142" s="65">
        <v>-64</v>
      </c>
    </row>
    <row r="143" spans="1:5" x14ac:dyDescent="0.2">
      <c r="A143" s="64" t="s">
        <v>189</v>
      </c>
      <c r="B143" s="65">
        <v>-16609</v>
      </c>
      <c r="C143" s="65">
        <v>-1625</v>
      </c>
      <c r="D143" s="65">
        <v>-7094</v>
      </c>
      <c r="E143" s="65">
        <v>-5815</v>
      </c>
    </row>
    <row r="144" spans="1:5" x14ac:dyDescent="0.2">
      <c r="A144" s="64" t="s">
        <v>190</v>
      </c>
      <c r="B144" s="65">
        <v>-106</v>
      </c>
      <c r="C144" s="65">
        <v>-104</v>
      </c>
      <c r="D144" s="65">
        <v>-186</v>
      </c>
      <c r="E144" s="65">
        <v>-179</v>
      </c>
    </row>
    <row r="145" spans="1:5" x14ac:dyDescent="0.2">
      <c r="A145" s="64" t="s">
        <v>191</v>
      </c>
      <c r="B145" s="65">
        <v>-5102</v>
      </c>
      <c r="C145" s="65">
        <v>-1188</v>
      </c>
      <c r="D145" s="65">
        <v>-1387</v>
      </c>
      <c r="E145" s="65">
        <v>-3688</v>
      </c>
    </row>
    <row r="146" spans="1:5" x14ac:dyDescent="0.2">
      <c r="A146" s="1" t="s">
        <v>192</v>
      </c>
    </row>
    <row r="147" spans="1:5" x14ac:dyDescent="0.2">
      <c r="A147" s="64" t="s">
        <v>193</v>
      </c>
      <c r="B147" s="65">
        <v>1825</v>
      </c>
      <c r="C147" s="65">
        <v>1169</v>
      </c>
      <c r="D147" s="65">
        <v>1438</v>
      </c>
      <c r="E147" s="65">
        <v>1304</v>
      </c>
    </row>
    <row r="148" spans="1:5" x14ac:dyDescent="0.2">
      <c r="A148" s="64" t="s">
        <v>194</v>
      </c>
      <c r="B148" s="65">
        <v>1257</v>
      </c>
      <c r="C148" s="65">
        <v>1208</v>
      </c>
      <c r="D148" s="65">
        <v>1379</v>
      </c>
      <c r="E148" s="65">
        <v>555</v>
      </c>
    </row>
    <row r="149" spans="1:5" x14ac:dyDescent="0.2">
      <c r="A149" s="1"/>
    </row>
    <row r="150" spans="1:5" x14ac:dyDescent="0.2">
      <c r="A150" s="63" t="s">
        <v>333</v>
      </c>
    </row>
    <row r="151" spans="1:5" x14ac:dyDescent="0.2">
      <c r="A151" s="64" t="s">
        <v>195</v>
      </c>
      <c r="B151" s="64" t="s">
        <v>83</v>
      </c>
      <c r="C151" s="64" t="s">
        <v>83</v>
      </c>
      <c r="D151" s="64" t="s">
        <v>83</v>
      </c>
      <c r="E151" s="64" t="s">
        <v>83</v>
      </c>
    </row>
    <row r="152" spans="1:5" x14ac:dyDescent="0.2">
      <c r="A152" s="64" t="s">
        <v>196</v>
      </c>
      <c r="B152" s="64" t="s">
        <v>83</v>
      </c>
      <c r="C152" s="64" t="s">
        <v>83</v>
      </c>
      <c r="D152" s="64" t="s">
        <v>83</v>
      </c>
      <c r="E152" s="64" t="s">
        <v>83</v>
      </c>
    </row>
    <row r="153" spans="1:5" x14ac:dyDescent="0.2">
      <c r="A153" s="64" t="s">
        <v>197</v>
      </c>
      <c r="B153" s="65">
        <v>1</v>
      </c>
      <c r="C153" s="65">
        <v>1</v>
      </c>
      <c r="D153" s="65">
        <v>1</v>
      </c>
      <c r="E153" s="65">
        <v>1</v>
      </c>
    </row>
    <row r="154" spans="1:5" x14ac:dyDescent="0.2">
      <c r="A154" s="64" t="s">
        <v>198</v>
      </c>
      <c r="B154" s="65">
        <v>1300</v>
      </c>
      <c r="C154" s="65">
        <v>1100</v>
      </c>
      <c r="D154" s="65">
        <v>900</v>
      </c>
      <c r="E154" s="65">
        <v>800</v>
      </c>
    </row>
    <row r="155" spans="1:5" x14ac:dyDescent="0.2">
      <c r="A155" s="64" t="s">
        <v>199</v>
      </c>
      <c r="B155" s="64" t="s">
        <v>83</v>
      </c>
      <c r="C155" s="64" t="s">
        <v>83</v>
      </c>
      <c r="D155" s="64" t="s">
        <v>83</v>
      </c>
      <c r="E155" s="64" t="s">
        <v>83</v>
      </c>
    </row>
    <row r="156" spans="1:5" x14ac:dyDescent="0.2">
      <c r="A156" s="64" t="s">
        <v>200</v>
      </c>
      <c r="B156" s="64" t="s">
        <v>83</v>
      </c>
      <c r="C156" s="64" t="s">
        <v>83</v>
      </c>
      <c r="D156" s="64" t="s">
        <v>83</v>
      </c>
      <c r="E156" s="64" t="s">
        <v>83</v>
      </c>
    </row>
    <row r="157" spans="1:5" x14ac:dyDescent="0.2">
      <c r="A157" s="64" t="s">
        <v>201</v>
      </c>
      <c r="B157" s="65">
        <v>4.3810000000000002</v>
      </c>
      <c r="C157" s="65">
        <v>3.9940000000000002</v>
      </c>
      <c r="D157" s="65">
        <v>3.8650000000000002</v>
      </c>
      <c r="E157" s="65">
        <v>3.7250000000000001</v>
      </c>
    </row>
    <row r="158" spans="1:5" x14ac:dyDescent="0.2">
      <c r="A158" s="64" t="s">
        <v>202</v>
      </c>
      <c r="B158" s="65">
        <v>729762072</v>
      </c>
      <c r="C158" s="65">
        <v>958156518</v>
      </c>
      <c r="D158" s="65">
        <v>1116826029</v>
      </c>
      <c r="E158" s="65">
        <v>2480395312</v>
      </c>
    </row>
    <row r="159" spans="1:5" x14ac:dyDescent="0.2">
      <c r="A159" s="64" t="s">
        <v>203</v>
      </c>
      <c r="B159" s="64" t="s">
        <v>83</v>
      </c>
      <c r="C159" s="64" t="s">
        <v>83</v>
      </c>
      <c r="D159" s="64" t="s">
        <v>83</v>
      </c>
      <c r="E159" s="64" t="s">
        <v>83</v>
      </c>
    </row>
    <row r="160" spans="1:5" x14ac:dyDescent="0.2">
      <c r="A160" s="64" t="s">
        <v>204</v>
      </c>
      <c r="B160" s="65">
        <v>0</v>
      </c>
      <c r="C160" s="65">
        <v>0</v>
      </c>
      <c r="D160" s="65">
        <v>0</v>
      </c>
      <c r="E160" s="65">
        <v>0</v>
      </c>
    </row>
    <row r="161" spans="1:5" x14ac:dyDescent="0.2">
      <c r="A161" s="64" t="s">
        <v>205</v>
      </c>
      <c r="B161" s="65">
        <v>3362</v>
      </c>
      <c r="C161" s="65">
        <v>4550</v>
      </c>
      <c r="D161" s="65">
        <v>3158</v>
      </c>
      <c r="E161" s="65">
        <v>6384</v>
      </c>
    </row>
    <row r="162" spans="1:5" x14ac:dyDescent="0.2">
      <c r="A162" s="64" t="s">
        <v>206</v>
      </c>
      <c r="B162" s="65">
        <v>2107</v>
      </c>
      <c r="C162" s="65">
        <v>1327</v>
      </c>
      <c r="D162" s="65">
        <v>6136</v>
      </c>
      <c r="E162" s="65">
        <v>1315</v>
      </c>
    </row>
    <row r="163" spans="1:5" x14ac:dyDescent="0.2">
      <c r="A163" s="64" t="s">
        <v>207</v>
      </c>
      <c r="B163" s="65">
        <v>1097</v>
      </c>
      <c r="C163" s="65">
        <v>6796</v>
      </c>
      <c r="D163" s="65">
        <v>1124</v>
      </c>
      <c r="E163" s="65">
        <v>1372</v>
      </c>
    </row>
    <row r="164" spans="1:5" x14ac:dyDescent="0.2">
      <c r="A164" s="64" t="s">
        <v>208</v>
      </c>
      <c r="B164" s="65">
        <v>6755</v>
      </c>
      <c r="C164" s="65">
        <v>1046</v>
      </c>
      <c r="D164" s="65">
        <v>1307</v>
      </c>
      <c r="E164" s="65">
        <v>2984</v>
      </c>
    </row>
    <row r="165" spans="1:5" x14ac:dyDescent="0.2">
      <c r="A165" s="64" t="s">
        <v>209</v>
      </c>
      <c r="B165" s="65">
        <v>900</v>
      </c>
      <c r="C165" s="64" t="s">
        <v>83</v>
      </c>
      <c r="D165" s="64" t="s">
        <v>83</v>
      </c>
      <c r="E165" s="64" t="s">
        <v>83</v>
      </c>
    </row>
    <row r="166" spans="1:5" x14ac:dyDescent="0.2">
      <c r="A166" s="64" t="s">
        <v>210</v>
      </c>
      <c r="B166" s="65">
        <v>0</v>
      </c>
      <c r="C166" s="65">
        <v>0</v>
      </c>
      <c r="D166" s="65">
        <v>0</v>
      </c>
      <c r="E166" s="65">
        <v>0</v>
      </c>
    </row>
    <row r="167" spans="1:5" x14ac:dyDescent="0.2">
      <c r="A167" s="64" t="s">
        <v>211</v>
      </c>
      <c r="B167" s="65">
        <v>-281</v>
      </c>
      <c r="C167" s="65">
        <v>-279</v>
      </c>
      <c r="D167" s="65">
        <v>-228</v>
      </c>
      <c r="E167" s="65">
        <v>-221</v>
      </c>
    </row>
    <row r="168" spans="1:5" x14ac:dyDescent="0.2">
      <c r="A168" s="64" t="s">
        <v>212</v>
      </c>
      <c r="B168" s="65">
        <v>0</v>
      </c>
      <c r="C168" s="65">
        <v>1.32</v>
      </c>
      <c r="D168" s="65">
        <v>1.48</v>
      </c>
      <c r="E168" s="65">
        <v>1.78</v>
      </c>
    </row>
    <row r="169" spans="1:5" x14ac:dyDescent="0.2">
      <c r="A169" s="64" t="s">
        <v>213</v>
      </c>
      <c r="B169" s="65">
        <v>0</v>
      </c>
      <c r="C169" s="65">
        <v>986</v>
      </c>
      <c r="D169" s="65">
        <v>1109</v>
      </c>
      <c r="E169" s="65">
        <v>1299</v>
      </c>
    </row>
    <row r="170" spans="1:5" x14ac:dyDescent="0.2">
      <c r="A170" s="64" t="s">
        <v>214</v>
      </c>
      <c r="B170" s="65">
        <v>0</v>
      </c>
      <c r="C170" s="65">
        <v>0</v>
      </c>
      <c r="D170" s="65">
        <v>0</v>
      </c>
      <c r="E170" s="65">
        <v>0</v>
      </c>
    </row>
    <row r="171" spans="1:5" x14ac:dyDescent="0.2">
      <c r="A171" s="64" t="s">
        <v>215</v>
      </c>
      <c r="B171" s="65">
        <v>133</v>
      </c>
      <c r="C171" s="65">
        <v>133</v>
      </c>
      <c r="D171" s="65">
        <v>120</v>
      </c>
      <c r="E171" s="65">
        <v>108</v>
      </c>
    </row>
    <row r="172" spans="1:5" x14ac:dyDescent="0.2">
      <c r="A172" s="64" t="s">
        <v>216</v>
      </c>
      <c r="B172" s="65">
        <v>92735</v>
      </c>
      <c r="C172" s="65">
        <v>89611</v>
      </c>
      <c r="D172" s="65">
        <v>82089</v>
      </c>
      <c r="E172" s="65">
        <v>79746</v>
      </c>
    </row>
    <row r="173" spans="1:5" x14ac:dyDescent="0.2">
      <c r="A173" s="64" t="s">
        <v>217</v>
      </c>
      <c r="B173" s="65">
        <v>-526</v>
      </c>
      <c r="C173" s="65">
        <v>-747</v>
      </c>
      <c r="D173" s="65">
        <v>-755</v>
      </c>
      <c r="E173" s="65">
        <v>-1023</v>
      </c>
    </row>
    <row r="174" spans="1:5" x14ac:dyDescent="0.2">
      <c r="A174" s="64" t="s">
        <v>218</v>
      </c>
      <c r="B174" s="65">
        <v>-221</v>
      </c>
      <c r="C174" s="65">
        <v>-265</v>
      </c>
      <c r="D174" s="65">
        <v>-199</v>
      </c>
      <c r="E174" s="65">
        <v>-112</v>
      </c>
    </row>
    <row r="175" spans="1:5" x14ac:dyDescent="0.2">
      <c r="A175" s="64" t="s">
        <v>219</v>
      </c>
      <c r="B175" s="65">
        <v>0</v>
      </c>
      <c r="C175" s="65">
        <v>0</v>
      </c>
      <c r="D175" s="65">
        <v>0</v>
      </c>
      <c r="E175" s="65">
        <v>0</v>
      </c>
    </row>
    <row r="176" spans="1:5" x14ac:dyDescent="0.2">
      <c r="A176" s="64" t="s">
        <v>220</v>
      </c>
      <c r="B176" s="64" t="s">
        <v>83</v>
      </c>
      <c r="C176" s="64" t="s">
        <v>83</v>
      </c>
      <c r="D176" s="64" t="s">
        <v>83</v>
      </c>
      <c r="E176" s="64" t="s">
        <v>83</v>
      </c>
    </row>
    <row r="177" spans="1:5" x14ac:dyDescent="0.2">
      <c r="A177" s="64" t="s">
        <v>221</v>
      </c>
      <c r="B177" s="64" t="s">
        <v>83</v>
      </c>
      <c r="C177" s="64" t="s">
        <v>83</v>
      </c>
      <c r="D177" s="64" t="s">
        <v>83</v>
      </c>
      <c r="E177" s="64" t="s">
        <v>83</v>
      </c>
    </row>
    <row r="178" spans="1:5" x14ac:dyDescent="0.2">
      <c r="A178" s="64" t="s">
        <v>222</v>
      </c>
      <c r="B178" s="65">
        <v>0</v>
      </c>
      <c r="C178" s="65">
        <v>0</v>
      </c>
      <c r="D178" s="65">
        <v>0</v>
      </c>
      <c r="E178" s="65">
        <v>0</v>
      </c>
    </row>
    <row r="179" spans="1:5" x14ac:dyDescent="0.2">
      <c r="A179" s="64" t="s">
        <v>223</v>
      </c>
      <c r="B179" s="64" t="s">
        <v>83</v>
      </c>
      <c r="C179" s="64" t="s">
        <v>83</v>
      </c>
      <c r="D179" s="64" t="s">
        <v>83</v>
      </c>
      <c r="E179" s="64" t="s">
        <v>83</v>
      </c>
    </row>
    <row r="180" spans="1:5" x14ac:dyDescent="0.2">
      <c r="A180" s="64" t="s">
        <v>224</v>
      </c>
      <c r="B180" s="65">
        <v>0</v>
      </c>
      <c r="C180" s="65">
        <v>0</v>
      </c>
      <c r="D180" s="65">
        <v>0</v>
      </c>
      <c r="E180" s="65">
        <v>0</v>
      </c>
    </row>
    <row r="181" spans="1:5" x14ac:dyDescent="0.2">
      <c r="A181" s="64" t="s">
        <v>225</v>
      </c>
      <c r="B181" s="64" t="s">
        <v>83</v>
      </c>
      <c r="C181" s="64" t="s">
        <v>83</v>
      </c>
      <c r="D181" s="64" t="s">
        <v>83</v>
      </c>
      <c r="E181" s="64" t="s">
        <v>83</v>
      </c>
    </row>
    <row r="182" spans="1:5" x14ac:dyDescent="0.2">
      <c r="A182" s="64" t="s">
        <v>226</v>
      </c>
      <c r="B182" s="65">
        <v>0</v>
      </c>
      <c r="C182" s="65">
        <v>0</v>
      </c>
      <c r="D182" s="65">
        <v>0</v>
      </c>
      <c r="E182" s="65">
        <v>0</v>
      </c>
    </row>
    <row r="183" spans="1:5" x14ac:dyDescent="0.2">
      <c r="A183" s="64" t="s">
        <v>227</v>
      </c>
      <c r="B183" s="65">
        <v>0</v>
      </c>
      <c r="C183" s="65">
        <v>0</v>
      </c>
      <c r="D183" s="65">
        <v>0</v>
      </c>
      <c r="E183" s="65">
        <v>0</v>
      </c>
    </row>
    <row r="184" spans="1:5" x14ac:dyDescent="0.2">
      <c r="A184" s="64" t="s">
        <v>228</v>
      </c>
      <c r="B184" s="65">
        <v>0</v>
      </c>
      <c r="C184" s="65">
        <v>0</v>
      </c>
      <c r="D184" s="65">
        <v>0</v>
      </c>
      <c r="E184" s="65">
        <v>0</v>
      </c>
    </row>
    <row r="185" spans="1:5" x14ac:dyDescent="0.2">
      <c r="A185" s="64" t="s">
        <v>229</v>
      </c>
      <c r="B185" s="65">
        <v>871</v>
      </c>
      <c r="C185" s="65">
        <v>725</v>
      </c>
      <c r="D185" s="64" t="s">
        <v>83</v>
      </c>
      <c r="E185" s="64" t="s">
        <v>83</v>
      </c>
    </row>
    <row r="186" spans="1:5" x14ac:dyDescent="0.2">
      <c r="A186" s="64" t="s">
        <v>230</v>
      </c>
      <c r="B186" s="65">
        <v>56.17</v>
      </c>
      <c r="C186" s="65">
        <v>40.22</v>
      </c>
      <c r="D186" s="65">
        <v>76.5</v>
      </c>
      <c r="E186" s="65">
        <v>115.24</v>
      </c>
    </row>
    <row r="187" spans="1:5" x14ac:dyDescent="0.2">
      <c r="A187" s="64" t="s">
        <v>231</v>
      </c>
      <c r="B187" s="65">
        <v>115</v>
      </c>
      <c r="C187" s="65">
        <v>61.54</v>
      </c>
      <c r="D187" s="65">
        <v>77.45</v>
      </c>
      <c r="E187" s="65">
        <v>179.7</v>
      </c>
    </row>
    <row r="188" spans="1:5" x14ac:dyDescent="0.2">
      <c r="A188" s="64" t="s">
        <v>232</v>
      </c>
      <c r="B188" s="65">
        <v>53.01</v>
      </c>
      <c r="C188" s="65">
        <v>32.895000000000003</v>
      </c>
      <c r="D188" s="65">
        <v>35.96</v>
      </c>
      <c r="E188" s="65">
        <v>74.319999999999993</v>
      </c>
    </row>
    <row r="189" spans="1:5" x14ac:dyDescent="0.2">
      <c r="A189" s="64" t="s">
        <v>233</v>
      </c>
      <c r="B189" s="65">
        <v>56.81</v>
      </c>
      <c r="C189" s="65">
        <v>40.619999999999997</v>
      </c>
      <c r="D189" s="65">
        <v>82.88</v>
      </c>
      <c r="E189" s="65">
        <v>103.6</v>
      </c>
    </row>
    <row r="190" spans="1:5" x14ac:dyDescent="0.2">
      <c r="A190" s="64" t="s">
        <v>234</v>
      </c>
      <c r="B190" s="65">
        <v>279</v>
      </c>
      <c r="C190" s="65">
        <v>279</v>
      </c>
      <c r="D190" s="65">
        <v>150</v>
      </c>
      <c r="E190" s="65">
        <v>141</v>
      </c>
    </row>
    <row r="191" spans="1:5" x14ac:dyDescent="0.2">
      <c r="A191" s="64" t="s">
        <v>235</v>
      </c>
      <c r="B191" s="65">
        <v>286</v>
      </c>
      <c r="C191" s="65">
        <v>260</v>
      </c>
      <c r="D191" s="65">
        <v>254</v>
      </c>
      <c r="E191" s="65">
        <v>233</v>
      </c>
    </row>
    <row r="192" spans="1:5" x14ac:dyDescent="0.2">
      <c r="A192" s="64" t="s">
        <v>236</v>
      </c>
      <c r="B192" s="65">
        <v>219</v>
      </c>
      <c r="C192" s="65">
        <v>200</v>
      </c>
      <c r="D192" s="65">
        <v>207</v>
      </c>
      <c r="E192" s="65">
        <v>200</v>
      </c>
    </row>
    <row r="193" spans="1:5" x14ac:dyDescent="0.2">
      <c r="A193" s="64" t="s">
        <v>237</v>
      </c>
      <c r="B193" s="65">
        <v>154</v>
      </c>
      <c r="C193" s="65">
        <v>162</v>
      </c>
      <c r="D193" s="65">
        <v>168</v>
      </c>
      <c r="E193" s="65">
        <v>157</v>
      </c>
    </row>
    <row r="194" spans="1:5" x14ac:dyDescent="0.2">
      <c r="A194" s="64" t="s">
        <v>238</v>
      </c>
      <c r="B194" s="65">
        <v>120</v>
      </c>
      <c r="C194" s="65">
        <v>121</v>
      </c>
      <c r="D194" s="65">
        <v>120</v>
      </c>
      <c r="E194" s="65">
        <v>105</v>
      </c>
    </row>
    <row r="195" spans="1:5" x14ac:dyDescent="0.2">
      <c r="A195" s="64" t="s">
        <v>239</v>
      </c>
      <c r="B195" s="65">
        <v>97</v>
      </c>
      <c r="C195" s="65">
        <v>85</v>
      </c>
      <c r="D195" s="65">
        <v>77</v>
      </c>
      <c r="E195" s="65">
        <v>77</v>
      </c>
    </row>
    <row r="196" spans="1:5" x14ac:dyDescent="0.2">
      <c r="A196" s="64" t="s">
        <v>240</v>
      </c>
      <c r="B196" s="65">
        <v>431</v>
      </c>
      <c r="C196" s="65">
        <v>396</v>
      </c>
      <c r="D196" s="65">
        <v>371</v>
      </c>
      <c r="E196" s="65">
        <v>355</v>
      </c>
    </row>
    <row r="197" spans="1:5" x14ac:dyDescent="0.2">
      <c r="A197" s="64" t="s">
        <v>241</v>
      </c>
      <c r="B197" s="64" t="s">
        <v>83</v>
      </c>
      <c r="C197" s="64" t="s">
        <v>83</v>
      </c>
      <c r="D197" s="64" t="s">
        <v>83</v>
      </c>
      <c r="E197" s="64" t="s">
        <v>83</v>
      </c>
    </row>
    <row r="198" spans="1:5" x14ac:dyDescent="0.2">
      <c r="A198" s="64" t="s">
        <v>242</v>
      </c>
      <c r="B198" s="65">
        <v>2577</v>
      </c>
      <c r="C198" s="65">
        <v>2779</v>
      </c>
      <c r="D198" s="65">
        <v>2801</v>
      </c>
      <c r="E198" s="65">
        <v>3061</v>
      </c>
    </row>
    <row r="199" spans="1:5" x14ac:dyDescent="0.2">
      <c r="A199" s="64" t="s">
        <v>243</v>
      </c>
      <c r="B199" s="64" t="s">
        <v>83</v>
      </c>
      <c r="C199" s="64" t="s">
        <v>83</v>
      </c>
      <c r="D199" s="64" t="s">
        <v>83</v>
      </c>
      <c r="E199" s="64" t="s">
        <v>83</v>
      </c>
    </row>
    <row r="200" spans="1:5" x14ac:dyDescent="0.2">
      <c r="A200" s="64" t="s">
        <v>244</v>
      </c>
      <c r="B200" s="65">
        <v>964</v>
      </c>
      <c r="C200" s="65">
        <v>3813</v>
      </c>
      <c r="D200" s="65">
        <v>5900</v>
      </c>
      <c r="E200" s="65">
        <v>8502</v>
      </c>
    </row>
    <row r="201" spans="1:5" x14ac:dyDescent="0.2">
      <c r="A201" s="64" t="s">
        <v>245</v>
      </c>
      <c r="B201" s="65">
        <v>0</v>
      </c>
      <c r="C201" s="65">
        <v>0</v>
      </c>
      <c r="D201" s="65">
        <v>0</v>
      </c>
      <c r="E201" s="65">
        <v>0</v>
      </c>
    </row>
    <row r="202" spans="1:5" x14ac:dyDescent="0.2">
      <c r="A202" s="64" t="s">
        <v>246</v>
      </c>
      <c r="B202" s="65">
        <v>20</v>
      </c>
      <c r="C202" s="65">
        <v>82</v>
      </c>
      <c r="D202" s="65">
        <v>116</v>
      </c>
      <c r="E202" s="65">
        <v>138</v>
      </c>
    </row>
    <row r="203" spans="1:5" x14ac:dyDescent="0.2">
      <c r="A203" s="1"/>
    </row>
    <row r="204" spans="1:5" x14ac:dyDescent="0.2">
      <c r="A204" s="63" t="s">
        <v>332</v>
      </c>
    </row>
    <row r="205" spans="1:5" x14ac:dyDescent="0.2">
      <c r="A205" s="64" t="s">
        <v>247</v>
      </c>
      <c r="B205" s="65">
        <v>18001</v>
      </c>
      <c r="C205" s="65">
        <v>17763</v>
      </c>
      <c r="D205" s="65">
        <v>13986</v>
      </c>
      <c r="E205" s="65">
        <v>15602</v>
      </c>
    </row>
    <row r="206" spans="1:5" x14ac:dyDescent="0.2">
      <c r="A206" s="64" t="s">
        <v>248</v>
      </c>
      <c r="B206" s="65">
        <v>0</v>
      </c>
      <c r="C206" s="65">
        <v>0</v>
      </c>
      <c r="D206" s="65">
        <v>0</v>
      </c>
      <c r="E206" s="65">
        <v>0</v>
      </c>
    </row>
    <row r="207" spans="1:5" x14ac:dyDescent="0.2">
      <c r="A207" s="64" t="s">
        <v>249</v>
      </c>
      <c r="B207" s="65">
        <v>131</v>
      </c>
      <c r="C207" s="65">
        <v>378</v>
      </c>
      <c r="D207" s="65">
        <v>0</v>
      </c>
      <c r="E207" s="65">
        <v>0</v>
      </c>
    </row>
    <row r="208" spans="1:5" x14ac:dyDescent="0.2">
      <c r="A208" s="64" t="s">
        <v>250</v>
      </c>
      <c r="B208" s="65">
        <v>18132</v>
      </c>
      <c r="C208" s="65">
        <v>18141</v>
      </c>
      <c r="D208" s="65">
        <v>13986</v>
      </c>
      <c r="E208" s="65">
        <v>15602</v>
      </c>
    </row>
    <row r="209" spans="1:5" x14ac:dyDescent="0.2">
      <c r="A209" s="64" t="s">
        <v>251</v>
      </c>
      <c r="B209" s="65">
        <v>3653</v>
      </c>
      <c r="C209" s="65">
        <v>3225</v>
      </c>
      <c r="D209" s="65">
        <v>2321</v>
      </c>
      <c r="E209" s="65">
        <v>4432</v>
      </c>
    </row>
    <row r="210" spans="1:5" x14ac:dyDescent="0.2">
      <c r="A210" s="64" t="s">
        <v>252</v>
      </c>
      <c r="B210" s="65">
        <v>855</v>
      </c>
      <c r="C210" s="65">
        <v>708</v>
      </c>
      <c r="D210" s="65">
        <v>607</v>
      </c>
      <c r="E210" s="65">
        <v>1128</v>
      </c>
    </row>
    <row r="211" spans="1:5" x14ac:dyDescent="0.2">
      <c r="A211" s="64" t="s">
        <v>253</v>
      </c>
      <c r="B211" s="65">
        <v>1390</v>
      </c>
      <c r="C211" s="65">
        <v>843</v>
      </c>
      <c r="D211" s="65">
        <v>694</v>
      </c>
      <c r="E211" s="65">
        <v>1156</v>
      </c>
    </row>
    <row r="212" spans="1:5" x14ac:dyDescent="0.2">
      <c r="A212" s="64" t="s">
        <v>254</v>
      </c>
      <c r="B212" s="65">
        <v>0</v>
      </c>
      <c r="C212" s="65">
        <v>0</v>
      </c>
      <c r="D212" s="65">
        <v>0</v>
      </c>
      <c r="E212" s="65">
        <v>0</v>
      </c>
    </row>
    <row r="213" spans="1:5" x14ac:dyDescent="0.2">
      <c r="A213" s="64" t="s">
        <v>66</v>
      </c>
      <c r="B213" s="65">
        <v>5898</v>
      </c>
      <c r="C213" s="65">
        <v>4776</v>
      </c>
      <c r="D213" s="65">
        <v>3622</v>
      </c>
      <c r="E213" s="65">
        <v>6716</v>
      </c>
    </row>
    <row r="214" spans="1:5" x14ac:dyDescent="0.2">
      <c r="A214" s="64" t="s">
        <v>255</v>
      </c>
      <c r="B214" s="65">
        <v>0</v>
      </c>
      <c r="C214" s="65">
        <v>0</v>
      </c>
      <c r="D214" s="65">
        <v>0</v>
      </c>
      <c r="E214" s="65">
        <v>0</v>
      </c>
    </row>
    <row r="215" spans="1:5" x14ac:dyDescent="0.2">
      <c r="A215" s="64" t="s">
        <v>256</v>
      </c>
      <c r="B215" s="65">
        <v>0</v>
      </c>
      <c r="C215" s="65">
        <v>0</v>
      </c>
      <c r="D215" s="65">
        <v>0</v>
      </c>
      <c r="E215" s="65">
        <v>0</v>
      </c>
    </row>
    <row r="216" spans="1:5" x14ac:dyDescent="0.2">
      <c r="A216" s="64" t="s">
        <v>257</v>
      </c>
      <c r="B216" s="65">
        <v>0</v>
      </c>
      <c r="C216" s="65">
        <v>0</v>
      </c>
      <c r="D216" s="65">
        <v>0</v>
      </c>
      <c r="E216" s="65">
        <v>0</v>
      </c>
    </row>
    <row r="217" spans="1:5" x14ac:dyDescent="0.2">
      <c r="A217" s="64" t="s">
        <v>258</v>
      </c>
      <c r="B217" s="65">
        <v>0</v>
      </c>
      <c r="C217" s="65">
        <v>0</v>
      </c>
      <c r="D217" s="65">
        <v>0</v>
      </c>
      <c r="E217" s="65">
        <v>0</v>
      </c>
    </row>
    <row r="218" spans="1:5" x14ac:dyDescent="0.2">
      <c r="A218" s="64" t="s">
        <v>259</v>
      </c>
      <c r="B218" s="65">
        <v>17252</v>
      </c>
      <c r="C218" s="65">
        <v>19252</v>
      </c>
      <c r="D218" s="65">
        <v>16559</v>
      </c>
      <c r="E218" s="65">
        <v>16025</v>
      </c>
    </row>
    <row r="219" spans="1:5" x14ac:dyDescent="0.2">
      <c r="A219" s="64" t="s">
        <v>260</v>
      </c>
      <c r="B219" s="64" t="s">
        <v>83</v>
      </c>
      <c r="C219" s="64" t="s">
        <v>83</v>
      </c>
      <c r="D219" s="64" t="s">
        <v>83</v>
      </c>
      <c r="E219" s="64" t="s">
        <v>83</v>
      </c>
    </row>
    <row r="220" spans="1:5" x14ac:dyDescent="0.2">
      <c r="A220" s="64" t="s">
        <v>261</v>
      </c>
      <c r="B220" s="65">
        <v>10990</v>
      </c>
      <c r="C220" s="65">
        <v>11505</v>
      </c>
      <c r="D220" s="65">
        <v>10492</v>
      </c>
      <c r="E220" s="65">
        <v>9521</v>
      </c>
    </row>
    <row r="221" spans="1:5" x14ac:dyDescent="0.2">
      <c r="A221" s="64" t="s">
        <v>262</v>
      </c>
      <c r="B221" s="65">
        <v>0</v>
      </c>
      <c r="C221" s="65">
        <v>0</v>
      </c>
      <c r="D221" s="65">
        <v>0</v>
      </c>
      <c r="E221" s="65">
        <v>0</v>
      </c>
    </row>
    <row r="222" spans="1:5" x14ac:dyDescent="0.2">
      <c r="A222" s="64" t="s">
        <v>263</v>
      </c>
      <c r="B222" s="65">
        <v>21851</v>
      </c>
      <c r="C222" s="65">
        <v>23645</v>
      </c>
      <c r="D222" s="65">
        <v>19588</v>
      </c>
      <c r="E222" s="65">
        <v>19885</v>
      </c>
    </row>
    <row r="223" spans="1:5" x14ac:dyDescent="0.2">
      <c r="A223" s="1" t="s">
        <v>264</v>
      </c>
    </row>
    <row r="224" spans="1:5" x14ac:dyDescent="0.2">
      <c r="A224" s="64" t="s">
        <v>265</v>
      </c>
      <c r="B224" s="64" t="s">
        <v>83</v>
      </c>
      <c r="C224" s="64" t="s">
        <v>83</v>
      </c>
      <c r="D224" s="64" t="s">
        <v>83</v>
      </c>
      <c r="E224" s="64" t="s">
        <v>83</v>
      </c>
    </row>
    <row r="225" spans="1:5" x14ac:dyDescent="0.2">
      <c r="A225" s="64" t="s">
        <v>176</v>
      </c>
      <c r="B225" s="65">
        <v>2796</v>
      </c>
      <c r="C225" s="65">
        <v>3003</v>
      </c>
      <c r="D225" s="65">
        <v>2756</v>
      </c>
      <c r="E225" s="65">
        <v>2652</v>
      </c>
    </row>
    <row r="226" spans="1:5" x14ac:dyDescent="0.2">
      <c r="A226" s="64" t="s">
        <v>266</v>
      </c>
      <c r="B226" s="64" t="s">
        <v>83</v>
      </c>
      <c r="C226" s="64" t="s">
        <v>83</v>
      </c>
      <c r="D226" s="64" t="s">
        <v>83</v>
      </c>
      <c r="E226" s="64" t="s">
        <v>83</v>
      </c>
    </row>
    <row r="227" spans="1:5" x14ac:dyDescent="0.2">
      <c r="A227" s="64" t="s">
        <v>267</v>
      </c>
      <c r="B227" s="64" t="s">
        <v>83</v>
      </c>
      <c r="C227" s="64" t="s">
        <v>83</v>
      </c>
      <c r="D227" s="64" t="s">
        <v>83</v>
      </c>
      <c r="E227" s="64" t="s">
        <v>83</v>
      </c>
    </row>
    <row r="228" spans="1:5" x14ac:dyDescent="0.2">
      <c r="A228" s="64" t="s">
        <v>268</v>
      </c>
      <c r="B228" s="65">
        <v>13177</v>
      </c>
      <c r="C228" s="65">
        <v>13817</v>
      </c>
      <c r="D228" s="65">
        <v>14324</v>
      </c>
      <c r="E228" s="65">
        <v>14756</v>
      </c>
    </row>
    <row r="229" spans="1:5" x14ac:dyDescent="0.2">
      <c r="A229" s="1" t="s">
        <v>269</v>
      </c>
    </row>
    <row r="230" spans="1:5" x14ac:dyDescent="0.2">
      <c r="A230" s="64" t="s">
        <v>265</v>
      </c>
      <c r="B230" s="64" t="s">
        <v>83</v>
      </c>
      <c r="C230" s="64" t="s">
        <v>83</v>
      </c>
      <c r="D230" s="64" t="s">
        <v>83</v>
      </c>
      <c r="E230" s="64" t="s">
        <v>83</v>
      </c>
    </row>
    <row r="231" spans="1:5" x14ac:dyDescent="0.2">
      <c r="A231" s="64" t="s">
        <v>270</v>
      </c>
      <c r="B231" s="64" t="s">
        <v>83</v>
      </c>
      <c r="C231" s="64" t="s">
        <v>83</v>
      </c>
      <c r="D231" s="64" t="s">
        <v>83</v>
      </c>
      <c r="E231" s="64" t="s">
        <v>83</v>
      </c>
    </row>
    <row r="232" spans="1:5" x14ac:dyDescent="0.2">
      <c r="A232" s="64" t="s">
        <v>271</v>
      </c>
      <c r="B232" s="64" t="s">
        <v>83</v>
      </c>
      <c r="C232" s="64" t="s">
        <v>83</v>
      </c>
      <c r="D232" s="64" t="s">
        <v>83</v>
      </c>
      <c r="E232" s="64" t="s">
        <v>83</v>
      </c>
    </row>
    <row r="233" spans="1:5" x14ac:dyDescent="0.2">
      <c r="A233" s="64" t="s">
        <v>266</v>
      </c>
      <c r="B233" s="64" t="s">
        <v>83</v>
      </c>
      <c r="C233" s="64" t="s">
        <v>83</v>
      </c>
      <c r="D233" s="64" t="s">
        <v>83</v>
      </c>
      <c r="E233" s="64" t="s">
        <v>83</v>
      </c>
    </row>
    <row r="234" spans="1:5" x14ac:dyDescent="0.2">
      <c r="A234" s="64" t="s">
        <v>267</v>
      </c>
      <c r="B234" s="64" t="s">
        <v>83</v>
      </c>
      <c r="C234" s="64" t="s">
        <v>83</v>
      </c>
      <c r="D234" s="64" t="s">
        <v>83</v>
      </c>
      <c r="E234" s="64" t="s">
        <v>83</v>
      </c>
    </row>
    <row r="235" spans="1:5" x14ac:dyDescent="0.2">
      <c r="A235" s="64" t="s">
        <v>268</v>
      </c>
      <c r="B235" s="65">
        <v>6891</v>
      </c>
      <c r="C235" s="65">
        <v>6883</v>
      </c>
      <c r="D235" s="65">
        <v>7185</v>
      </c>
      <c r="E235" s="65">
        <v>7760</v>
      </c>
    </row>
    <row r="236" spans="1:5" x14ac:dyDescent="0.2">
      <c r="A236" s="64" t="s">
        <v>272</v>
      </c>
      <c r="B236" s="65">
        <v>-54</v>
      </c>
      <c r="C236" s="65">
        <v>-483</v>
      </c>
      <c r="D236" s="65">
        <v>-106</v>
      </c>
      <c r="E236" s="65">
        <v>-220</v>
      </c>
    </row>
    <row r="237" spans="1:5" x14ac:dyDescent="0.2">
      <c r="A237" s="64" t="s">
        <v>273</v>
      </c>
      <c r="B237" s="65">
        <v>-167</v>
      </c>
      <c r="C237" s="65">
        <v>-131</v>
      </c>
      <c r="D237" s="65">
        <v>57</v>
      </c>
      <c r="E237" s="65">
        <v>24</v>
      </c>
    </row>
    <row r="238" spans="1:5" x14ac:dyDescent="0.2">
      <c r="A238" s="64" t="s">
        <v>274</v>
      </c>
      <c r="B238" s="65">
        <v>0</v>
      </c>
      <c r="C238" s="65">
        <v>-103</v>
      </c>
      <c r="D238" s="65">
        <v>-42</v>
      </c>
      <c r="E238" s="65">
        <v>-12</v>
      </c>
    </row>
    <row r="239" spans="1:5" x14ac:dyDescent="0.2">
      <c r="A239" s="64" t="s">
        <v>275</v>
      </c>
      <c r="B239" s="65">
        <v>166</v>
      </c>
      <c r="C239" s="65">
        <v>605</v>
      </c>
      <c r="D239" s="65">
        <v>149</v>
      </c>
      <c r="E239" s="65">
        <v>-84</v>
      </c>
    </row>
    <row r="240" spans="1:5" x14ac:dyDescent="0.2">
      <c r="A240" s="64" t="s">
        <v>276</v>
      </c>
      <c r="B240" s="65">
        <v>960</v>
      </c>
      <c r="C240" s="65">
        <v>739</v>
      </c>
      <c r="D240" s="65">
        <v>601</v>
      </c>
      <c r="E240" s="65">
        <v>785</v>
      </c>
    </row>
    <row r="241" spans="1:5" x14ac:dyDescent="0.2">
      <c r="A241" s="64" t="s">
        <v>277</v>
      </c>
      <c r="B241" s="65">
        <v>76</v>
      </c>
      <c r="C241" s="65">
        <v>176</v>
      </c>
      <c r="D241" s="65">
        <v>33</v>
      </c>
      <c r="E241" s="65">
        <v>-21</v>
      </c>
    </row>
    <row r="242" spans="1:5" x14ac:dyDescent="0.2">
      <c r="A242" s="64" t="s">
        <v>278</v>
      </c>
      <c r="B242" s="65">
        <v>0</v>
      </c>
      <c r="C242" s="65">
        <v>0</v>
      </c>
      <c r="D242" s="65">
        <v>0</v>
      </c>
      <c r="E242" s="65">
        <v>0</v>
      </c>
    </row>
    <row r="243" spans="1:5" x14ac:dyDescent="0.2">
      <c r="A243" s="64" t="s">
        <v>141</v>
      </c>
      <c r="B243" s="65">
        <v>981</v>
      </c>
      <c r="C243" s="65">
        <v>803</v>
      </c>
      <c r="D243" s="65">
        <v>692</v>
      </c>
      <c r="E243" s="65">
        <v>472</v>
      </c>
    </row>
    <row r="244" spans="1:5" x14ac:dyDescent="0.2">
      <c r="A244" s="1" t="s">
        <v>279</v>
      </c>
    </row>
    <row r="245" spans="1:5" x14ac:dyDescent="0.2">
      <c r="A245" s="64" t="s">
        <v>280</v>
      </c>
      <c r="B245" s="64" t="s">
        <v>83</v>
      </c>
      <c r="C245" s="64" t="s">
        <v>83</v>
      </c>
      <c r="D245" s="64" t="s">
        <v>83</v>
      </c>
      <c r="E245" s="64" t="s">
        <v>83</v>
      </c>
    </row>
    <row r="246" spans="1:5" x14ac:dyDescent="0.2">
      <c r="A246" s="64" t="s">
        <v>281</v>
      </c>
      <c r="B246" s="64" t="s">
        <v>83</v>
      </c>
      <c r="C246" s="64" t="s">
        <v>83</v>
      </c>
      <c r="D246" s="64" t="s">
        <v>83</v>
      </c>
      <c r="E246" s="64" t="s">
        <v>83</v>
      </c>
    </row>
    <row r="247" spans="1:5" x14ac:dyDescent="0.2">
      <c r="A247" s="64" t="s">
        <v>282</v>
      </c>
      <c r="B247" s="64" t="s">
        <v>83</v>
      </c>
      <c r="C247" s="64" t="s">
        <v>83</v>
      </c>
      <c r="D247" s="64" t="s">
        <v>83</v>
      </c>
      <c r="E247" s="64" t="s">
        <v>83</v>
      </c>
    </row>
    <row r="248" spans="1:5" x14ac:dyDescent="0.2">
      <c r="A248" s="64" t="s">
        <v>283</v>
      </c>
      <c r="B248" s="64" t="s">
        <v>83</v>
      </c>
      <c r="C248" s="64" t="s">
        <v>83</v>
      </c>
      <c r="D248" s="64" t="s">
        <v>83</v>
      </c>
      <c r="E248" s="64" t="s">
        <v>83</v>
      </c>
    </row>
    <row r="249" spans="1:5" x14ac:dyDescent="0.2">
      <c r="A249" s="64" t="s">
        <v>284</v>
      </c>
      <c r="B249" s="64" t="s">
        <v>83</v>
      </c>
      <c r="C249" s="64" t="s">
        <v>83</v>
      </c>
      <c r="D249" s="64" t="s">
        <v>83</v>
      </c>
      <c r="E249" s="64" t="s">
        <v>83</v>
      </c>
    </row>
    <row r="250" spans="1:5" x14ac:dyDescent="0.2">
      <c r="A250" s="1"/>
    </row>
    <row r="251" spans="1:5" x14ac:dyDescent="0.2">
      <c r="A251" s="63" t="s">
        <v>331</v>
      </c>
    </row>
    <row r="252" spans="1:5" x14ac:dyDescent="0.2">
      <c r="A252" s="64" t="s">
        <v>285</v>
      </c>
      <c r="B252" s="65">
        <v>10011</v>
      </c>
      <c r="C252" s="65">
        <v>8879</v>
      </c>
      <c r="D252" s="65">
        <v>7502</v>
      </c>
      <c r="E252" s="65">
        <v>3756</v>
      </c>
    </row>
    <row r="253" spans="1:5" x14ac:dyDescent="0.2">
      <c r="A253" s="64" t="s">
        <v>250</v>
      </c>
      <c r="B253" s="65">
        <v>18132</v>
      </c>
      <c r="C253" s="65">
        <v>18141</v>
      </c>
      <c r="D253" s="65">
        <v>13986</v>
      </c>
      <c r="E253" s="65">
        <v>15602</v>
      </c>
    </row>
    <row r="254" spans="1:5" x14ac:dyDescent="0.2">
      <c r="A254" s="64" t="s">
        <v>66</v>
      </c>
      <c r="B254" s="65">
        <v>5898</v>
      </c>
      <c r="C254" s="65">
        <v>4776</v>
      </c>
      <c r="D254" s="65">
        <v>3622</v>
      </c>
      <c r="E254" s="65">
        <v>6716</v>
      </c>
    </row>
    <row r="255" spans="1:5" x14ac:dyDescent="0.2">
      <c r="A255" s="64" t="s">
        <v>286</v>
      </c>
      <c r="B255" s="65">
        <v>886</v>
      </c>
      <c r="C255" s="65">
        <v>641</v>
      </c>
      <c r="D255" s="65">
        <v>589</v>
      </c>
      <c r="E255" s="65">
        <v>564</v>
      </c>
    </row>
    <row r="256" spans="1:5" x14ac:dyDescent="0.2">
      <c r="A256" s="64" t="s">
        <v>71</v>
      </c>
      <c r="B256" s="65">
        <v>10106</v>
      </c>
      <c r="C256" s="65">
        <v>9914</v>
      </c>
      <c r="D256" s="65">
        <v>10248</v>
      </c>
      <c r="E256" s="65">
        <v>9591</v>
      </c>
    </row>
    <row r="257" spans="1:5" x14ac:dyDescent="0.2">
      <c r="A257" s="64" t="s">
        <v>74</v>
      </c>
      <c r="B257" s="65">
        <v>45033</v>
      </c>
      <c r="C257" s="65">
        <v>42351</v>
      </c>
      <c r="D257" s="65">
        <v>35947</v>
      </c>
      <c r="E257" s="65">
        <v>36229</v>
      </c>
    </row>
    <row r="258" spans="1:5" x14ac:dyDescent="0.2">
      <c r="A258" s="64" t="s">
        <v>287</v>
      </c>
      <c r="B258" s="65">
        <v>13177</v>
      </c>
      <c r="C258" s="65">
        <v>13817</v>
      </c>
      <c r="D258" s="65">
        <v>14324</v>
      </c>
      <c r="E258" s="65">
        <v>14756</v>
      </c>
    </row>
    <row r="259" spans="1:5" x14ac:dyDescent="0.2">
      <c r="A259" s="64" t="s">
        <v>288</v>
      </c>
      <c r="B259" s="65">
        <v>6891</v>
      </c>
      <c r="C259" s="65">
        <v>6883</v>
      </c>
      <c r="D259" s="65">
        <v>7185</v>
      </c>
      <c r="E259" s="65">
        <v>7760</v>
      </c>
    </row>
    <row r="260" spans="1:5" x14ac:dyDescent="0.2">
      <c r="A260" s="64" t="s">
        <v>289</v>
      </c>
      <c r="B260" s="65">
        <v>6286</v>
      </c>
      <c r="C260" s="65">
        <v>6934</v>
      </c>
      <c r="D260" s="65">
        <v>7139</v>
      </c>
      <c r="E260" s="65">
        <v>6996</v>
      </c>
    </row>
    <row r="261" spans="1:5" x14ac:dyDescent="0.2">
      <c r="A261" s="64" t="s">
        <v>290</v>
      </c>
      <c r="B261" s="65">
        <v>0</v>
      </c>
      <c r="C261" s="65">
        <v>0</v>
      </c>
      <c r="D261" s="65">
        <v>0</v>
      </c>
      <c r="E261" s="65">
        <v>0</v>
      </c>
    </row>
    <row r="262" spans="1:5" x14ac:dyDescent="0.2">
      <c r="A262" s="64" t="s">
        <v>291</v>
      </c>
      <c r="B262" s="65">
        <v>8071</v>
      </c>
      <c r="C262" s="65">
        <v>7596</v>
      </c>
      <c r="D262" s="65">
        <v>7193</v>
      </c>
      <c r="E262" s="65">
        <v>7423</v>
      </c>
    </row>
    <row r="263" spans="1:5" x14ac:dyDescent="0.2">
      <c r="A263" s="64" t="s">
        <v>80</v>
      </c>
      <c r="B263" s="65">
        <v>27903</v>
      </c>
      <c r="C263" s="65">
        <v>26817</v>
      </c>
      <c r="D263" s="65">
        <v>26047</v>
      </c>
      <c r="E263" s="65">
        <v>24731</v>
      </c>
    </row>
    <row r="264" spans="1:5" x14ac:dyDescent="0.2">
      <c r="A264" s="64" t="s">
        <v>292</v>
      </c>
      <c r="B264" s="64" t="s">
        <v>83</v>
      </c>
      <c r="C264" s="64" t="s">
        <v>83</v>
      </c>
      <c r="D264" s="64" t="s">
        <v>83</v>
      </c>
      <c r="E264" s="64" t="s">
        <v>83</v>
      </c>
    </row>
    <row r="265" spans="1:5" x14ac:dyDescent="0.2">
      <c r="A265" s="64" t="s">
        <v>81</v>
      </c>
      <c r="B265" s="65">
        <v>5442</v>
      </c>
      <c r="C265" s="65">
        <v>5913</v>
      </c>
      <c r="D265" s="65">
        <v>5763</v>
      </c>
      <c r="E265" s="65">
        <v>4367</v>
      </c>
    </row>
    <row r="266" spans="1:5" x14ac:dyDescent="0.2">
      <c r="A266" s="64" t="s">
        <v>293</v>
      </c>
      <c r="B266" s="65">
        <v>92735</v>
      </c>
      <c r="C266" s="65">
        <v>89611</v>
      </c>
      <c r="D266" s="65">
        <v>82089</v>
      </c>
      <c r="E266" s="65">
        <v>79746</v>
      </c>
    </row>
    <row r="267" spans="1:5" x14ac:dyDescent="0.2">
      <c r="A267" s="64" t="s">
        <v>90</v>
      </c>
      <c r="B267" s="65">
        <v>27143</v>
      </c>
      <c r="C267" s="65">
        <v>18598</v>
      </c>
      <c r="D267" s="65">
        <v>19389</v>
      </c>
      <c r="E267" s="65">
        <v>20832</v>
      </c>
    </row>
    <row r="268" spans="1:5" x14ac:dyDescent="0.2">
      <c r="A268" s="64" t="s">
        <v>294</v>
      </c>
      <c r="B268" s="65">
        <v>0</v>
      </c>
      <c r="C268" s="65">
        <v>0</v>
      </c>
      <c r="D268" s="65">
        <v>0</v>
      </c>
      <c r="E268" s="65">
        <v>0</v>
      </c>
    </row>
    <row r="269" spans="1:5" x14ac:dyDescent="0.2">
      <c r="A269" s="64" t="s">
        <v>295</v>
      </c>
      <c r="B269" s="64" t="s">
        <v>83</v>
      </c>
      <c r="C269" s="64" t="s">
        <v>83</v>
      </c>
      <c r="D269" s="64" t="s">
        <v>83</v>
      </c>
      <c r="E269" s="64" t="s">
        <v>83</v>
      </c>
    </row>
    <row r="270" spans="1:5" x14ac:dyDescent="0.2">
      <c r="A270" s="64" t="s">
        <v>296</v>
      </c>
      <c r="B270" s="64" t="s">
        <v>83</v>
      </c>
      <c r="C270" s="64" t="s">
        <v>83</v>
      </c>
      <c r="D270" s="64" t="s">
        <v>83</v>
      </c>
      <c r="E270" s="64" t="s">
        <v>83</v>
      </c>
    </row>
    <row r="271" spans="1:5" x14ac:dyDescent="0.2">
      <c r="A271" s="64" t="s">
        <v>297</v>
      </c>
      <c r="B271" s="65">
        <v>6110</v>
      </c>
      <c r="C271" s="65">
        <v>6833</v>
      </c>
      <c r="D271" s="65">
        <v>7235</v>
      </c>
      <c r="E271" s="65">
        <v>5440</v>
      </c>
    </row>
    <row r="272" spans="1:5" x14ac:dyDescent="0.2">
      <c r="A272" s="64" t="s">
        <v>298</v>
      </c>
      <c r="B272" s="65">
        <v>22966</v>
      </c>
      <c r="C272" s="65">
        <v>26223</v>
      </c>
      <c r="D272" s="65">
        <v>21870</v>
      </c>
      <c r="E272" s="65">
        <v>20255</v>
      </c>
    </row>
    <row r="273" spans="1:5" x14ac:dyDescent="0.2">
      <c r="A273" s="64" t="s">
        <v>299</v>
      </c>
      <c r="B273" s="65">
        <v>56219</v>
      </c>
      <c r="C273" s="65">
        <v>51654</v>
      </c>
      <c r="D273" s="65">
        <v>48494</v>
      </c>
      <c r="E273" s="65">
        <v>46527</v>
      </c>
    </row>
    <row r="274" spans="1:5" x14ac:dyDescent="0.2">
      <c r="A274" s="64" t="s">
        <v>300</v>
      </c>
      <c r="B274" s="65">
        <v>21851</v>
      </c>
      <c r="C274" s="65">
        <v>23645</v>
      </c>
      <c r="D274" s="65">
        <v>19588</v>
      </c>
      <c r="E274" s="65">
        <v>19885</v>
      </c>
    </row>
    <row r="275" spans="1:5" x14ac:dyDescent="0.2">
      <c r="A275" s="64" t="s">
        <v>301</v>
      </c>
      <c r="B275" s="64" t="s">
        <v>83</v>
      </c>
      <c r="C275" s="64" t="s">
        <v>83</v>
      </c>
      <c r="D275" s="64" t="s">
        <v>83</v>
      </c>
      <c r="E275" s="64" t="s">
        <v>83</v>
      </c>
    </row>
    <row r="276" spans="1:5" x14ac:dyDescent="0.2">
      <c r="A276" s="64" t="s">
        <v>222</v>
      </c>
      <c r="B276" s="65">
        <v>0</v>
      </c>
      <c r="C276" s="65">
        <v>0</v>
      </c>
      <c r="D276" s="65">
        <v>0</v>
      </c>
      <c r="E276" s="65">
        <v>0</v>
      </c>
    </row>
    <row r="277" spans="1:5" x14ac:dyDescent="0.2">
      <c r="A277" s="64" t="s">
        <v>105</v>
      </c>
      <c r="B277" s="65">
        <v>16245</v>
      </c>
      <c r="C277" s="65">
        <v>17337</v>
      </c>
      <c r="D277" s="65">
        <v>16316</v>
      </c>
      <c r="E277" s="65">
        <v>14721</v>
      </c>
    </row>
    <row r="278" spans="1:5" x14ac:dyDescent="0.2">
      <c r="A278" s="64" t="s">
        <v>302</v>
      </c>
      <c r="B278" s="64" t="s">
        <v>83</v>
      </c>
      <c r="C278" s="64" t="s">
        <v>83</v>
      </c>
      <c r="D278" s="64" t="s">
        <v>83</v>
      </c>
      <c r="E278" s="64" t="s">
        <v>83</v>
      </c>
    </row>
    <row r="279" spans="1:5" x14ac:dyDescent="0.2">
      <c r="A279" s="64" t="s">
        <v>109</v>
      </c>
      <c r="B279" s="65">
        <v>0</v>
      </c>
      <c r="C279" s="65">
        <v>0</v>
      </c>
      <c r="D279" s="65">
        <v>0</v>
      </c>
      <c r="E279" s="65">
        <v>0</v>
      </c>
    </row>
    <row r="280" spans="1:5" x14ac:dyDescent="0.2">
      <c r="A280" s="64" t="s">
        <v>281</v>
      </c>
      <c r="B280" s="65">
        <v>0</v>
      </c>
      <c r="C280" s="65">
        <v>0</v>
      </c>
      <c r="D280" s="65">
        <v>0</v>
      </c>
      <c r="E280" s="65">
        <v>0</v>
      </c>
    </row>
    <row r="281" spans="1:5" x14ac:dyDescent="0.2">
      <c r="A281" s="64" t="s">
        <v>303</v>
      </c>
      <c r="B281" s="65">
        <v>8</v>
      </c>
      <c r="C281" s="65">
        <v>8</v>
      </c>
      <c r="D281" s="65">
        <v>8</v>
      </c>
      <c r="E281" s="65">
        <v>8</v>
      </c>
    </row>
    <row r="282" spans="1:5" x14ac:dyDescent="0.2">
      <c r="A282" s="64" t="s">
        <v>304</v>
      </c>
      <c r="B282" s="65">
        <v>7890</v>
      </c>
      <c r="C282" s="65">
        <v>8416</v>
      </c>
      <c r="D282" s="65">
        <v>8918</v>
      </c>
      <c r="E282" s="65">
        <v>9111</v>
      </c>
    </row>
    <row r="283" spans="1:5" x14ac:dyDescent="0.2">
      <c r="A283" s="64" t="s">
        <v>305</v>
      </c>
      <c r="B283" s="65">
        <v>-8619</v>
      </c>
      <c r="C283" s="65">
        <v>-7733</v>
      </c>
      <c r="D283" s="65">
        <v>-5430</v>
      </c>
      <c r="E283" s="65">
        <v>-2099</v>
      </c>
    </row>
    <row r="284" spans="1:5" x14ac:dyDescent="0.2">
      <c r="A284" s="64" t="s">
        <v>306</v>
      </c>
      <c r="B284" s="65">
        <v>964</v>
      </c>
      <c r="C284" s="65">
        <v>3813</v>
      </c>
      <c r="D284" s="65">
        <v>5900</v>
      </c>
      <c r="E284" s="65">
        <v>8502</v>
      </c>
    </row>
    <row r="285" spans="1:5" x14ac:dyDescent="0.2">
      <c r="A285" s="64" t="s">
        <v>120</v>
      </c>
      <c r="B285" s="65">
        <v>-1685</v>
      </c>
      <c r="C285" s="65">
        <v>-3122</v>
      </c>
      <c r="D285" s="65">
        <v>-2404</v>
      </c>
      <c r="E285" s="65">
        <v>-1482</v>
      </c>
    </row>
    <row r="286" spans="1:5" x14ac:dyDescent="0.2">
      <c r="A286" s="64" t="s">
        <v>121</v>
      </c>
      <c r="B286" s="65">
        <v>105</v>
      </c>
      <c r="C286" s="65">
        <v>97</v>
      </c>
      <c r="D286" s="65">
        <v>95</v>
      </c>
      <c r="E286" s="65">
        <v>95</v>
      </c>
    </row>
    <row r="287" spans="1:5" x14ac:dyDescent="0.2">
      <c r="A287" s="64" t="s">
        <v>307</v>
      </c>
      <c r="B287" s="65">
        <v>-1580</v>
      </c>
      <c r="C287" s="65">
        <v>-3025</v>
      </c>
      <c r="D287" s="65">
        <v>-2309</v>
      </c>
      <c r="E287" s="65">
        <v>-1387</v>
      </c>
    </row>
    <row r="288" spans="1:5" x14ac:dyDescent="0.2">
      <c r="A288" s="64" t="s">
        <v>124</v>
      </c>
      <c r="B288" s="65">
        <v>101197</v>
      </c>
      <c r="C288" s="65">
        <v>102301</v>
      </c>
      <c r="D288" s="65">
        <v>88425</v>
      </c>
      <c r="E288" s="65">
        <v>95567</v>
      </c>
    </row>
    <row r="289" spans="1:5" x14ac:dyDescent="0.2">
      <c r="A289" s="64" t="s">
        <v>125</v>
      </c>
      <c r="B289" s="65">
        <v>76802</v>
      </c>
      <c r="C289" s="65">
        <v>76907</v>
      </c>
      <c r="D289" s="65">
        <v>64655</v>
      </c>
      <c r="E289" s="65">
        <v>71468</v>
      </c>
    </row>
    <row r="290" spans="1:5" x14ac:dyDescent="0.2">
      <c r="A290" s="64" t="s">
        <v>308</v>
      </c>
      <c r="B290" s="65">
        <v>0</v>
      </c>
      <c r="C290" s="65">
        <v>0</v>
      </c>
      <c r="D290" s="65">
        <v>0</v>
      </c>
      <c r="E290" s="65">
        <v>0</v>
      </c>
    </row>
    <row r="291" spans="1:5" x14ac:dyDescent="0.2">
      <c r="A291" s="64" t="s">
        <v>309</v>
      </c>
      <c r="B291" s="65">
        <v>15916</v>
      </c>
      <c r="C291" s="65">
        <v>15918</v>
      </c>
      <c r="D291" s="65">
        <v>14596</v>
      </c>
      <c r="E291" s="65">
        <v>14046</v>
      </c>
    </row>
    <row r="292" spans="1:5" x14ac:dyDescent="0.2">
      <c r="A292" s="64" t="s">
        <v>127</v>
      </c>
      <c r="B292" s="65">
        <v>8479</v>
      </c>
      <c r="C292" s="65">
        <v>9476</v>
      </c>
      <c r="D292" s="65">
        <v>9174</v>
      </c>
      <c r="E292" s="65">
        <v>10053</v>
      </c>
    </row>
    <row r="293" spans="1:5" x14ac:dyDescent="0.2">
      <c r="A293" s="64" t="s">
        <v>310</v>
      </c>
      <c r="B293" s="65">
        <v>3547</v>
      </c>
      <c r="C293" s="65">
        <v>3156</v>
      </c>
      <c r="D293" s="65">
        <v>3303</v>
      </c>
      <c r="E293" s="65">
        <v>3123</v>
      </c>
    </row>
    <row r="294" spans="1:5" x14ac:dyDescent="0.2">
      <c r="A294" s="64" t="s">
        <v>132</v>
      </c>
      <c r="B294" s="65">
        <v>4932</v>
      </c>
      <c r="C294" s="65">
        <v>6320</v>
      </c>
      <c r="D294" s="65">
        <v>5871</v>
      </c>
      <c r="E294" s="65">
        <v>6930</v>
      </c>
    </row>
    <row r="295" spans="1:5" x14ac:dyDescent="0.2">
      <c r="A295" s="64" t="s">
        <v>133</v>
      </c>
      <c r="B295" s="65">
        <v>1542</v>
      </c>
      <c r="C295" s="65">
        <v>1222</v>
      </c>
      <c r="D295" s="65">
        <v>1501</v>
      </c>
      <c r="E295" s="65">
        <v>1394</v>
      </c>
    </row>
    <row r="296" spans="1:5" x14ac:dyDescent="0.2">
      <c r="A296" s="64" t="s">
        <v>311</v>
      </c>
      <c r="B296" s="65">
        <v>410</v>
      </c>
      <c r="C296" s="65">
        <v>-259</v>
      </c>
      <c r="D296" s="65">
        <v>109</v>
      </c>
      <c r="E296" s="65">
        <v>205</v>
      </c>
    </row>
    <row r="297" spans="1:5" x14ac:dyDescent="0.2">
      <c r="A297" s="64" t="s">
        <v>137</v>
      </c>
      <c r="B297" s="65">
        <v>2123</v>
      </c>
      <c r="C297" s="65">
        <v>-1614</v>
      </c>
      <c r="D297" s="65">
        <v>-592</v>
      </c>
      <c r="E297" s="65">
        <v>-693</v>
      </c>
    </row>
    <row r="298" spans="1:5" x14ac:dyDescent="0.2">
      <c r="A298" s="64" t="s">
        <v>138</v>
      </c>
      <c r="B298" s="65">
        <v>5923</v>
      </c>
      <c r="C298" s="65">
        <v>3225</v>
      </c>
      <c r="D298" s="65">
        <v>3887</v>
      </c>
      <c r="E298" s="65">
        <v>5048</v>
      </c>
    </row>
    <row r="299" spans="1:5" x14ac:dyDescent="0.2">
      <c r="A299" s="64" t="s">
        <v>141</v>
      </c>
      <c r="B299" s="65">
        <v>981</v>
      </c>
      <c r="C299" s="65">
        <v>803</v>
      </c>
      <c r="D299" s="65">
        <v>692</v>
      </c>
      <c r="E299" s="65">
        <v>472</v>
      </c>
    </row>
    <row r="300" spans="1:5" x14ac:dyDescent="0.2">
      <c r="A300" s="64" t="s">
        <v>150</v>
      </c>
      <c r="B300" s="65">
        <v>-6</v>
      </c>
      <c r="C300" s="65">
        <v>-20</v>
      </c>
      <c r="D300" s="65">
        <v>-16</v>
      </c>
      <c r="E300" s="65">
        <v>-16</v>
      </c>
    </row>
    <row r="301" spans="1:5" x14ac:dyDescent="0.2">
      <c r="A301" s="64" t="s">
        <v>312</v>
      </c>
      <c r="B301" s="65">
        <v>4948</v>
      </c>
      <c r="C301" s="65">
        <v>2442</v>
      </c>
      <c r="D301" s="65">
        <v>3211</v>
      </c>
      <c r="E301" s="65">
        <v>4592</v>
      </c>
    </row>
    <row r="302" spans="1:5" x14ac:dyDescent="0.2">
      <c r="A302" s="64" t="s">
        <v>313</v>
      </c>
      <c r="B302" s="65">
        <v>0</v>
      </c>
      <c r="C302" s="65">
        <v>0</v>
      </c>
      <c r="D302" s="65">
        <v>0</v>
      </c>
      <c r="E302" s="65">
        <v>0</v>
      </c>
    </row>
    <row r="303" spans="1:5" x14ac:dyDescent="0.2">
      <c r="A303" s="64" t="s">
        <v>314</v>
      </c>
      <c r="B303" s="65">
        <v>615</v>
      </c>
      <c r="C303" s="65">
        <v>0</v>
      </c>
      <c r="D303" s="65">
        <v>0</v>
      </c>
      <c r="E303" s="65">
        <v>0</v>
      </c>
    </row>
    <row r="304" spans="1:5" x14ac:dyDescent="0.2">
      <c r="A304" s="64" t="s">
        <v>160</v>
      </c>
      <c r="B304" s="65">
        <v>5563</v>
      </c>
      <c r="C304" s="65">
        <v>2442</v>
      </c>
      <c r="D304" s="65">
        <v>3211</v>
      </c>
      <c r="E304" s="65">
        <v>4592</v>
      </c>
    </row>
    <row r="305" spans="1:5" x14ac:dyDescent="0.2">
      <c r="A305" s="64" t="s">
        <v>315</v>
      </c>
      <c r="B305" s="65">
        <v>0</v>
      </c>
      <c r="C305" s="65">
        <v>0</v>
      </c>
      <c r="D305" s="65">
        <v>0</v>
      </c>
      <c r="E305" s="65">
        <v>0</v>
      </c>
    </row>
    <row r="306" spans="1:5" x14ac:dyDescent="0.2">
      <c r="A306" s="64" t="s">
        <v>316</v>
      </c>
      <c r="B306" s="65">
        <v>6.49</v>
      </c>
      <c r="C306" s="65">
        <v>3.33</v>
      </c>
      <c r="D306" s="65">
        <v>4.46</v>
      </c>
      <c r="E306" s="65">
        <v>6.51</v>
      </c>
    </row>
    <row r="307" spans="1:5" x14ac:dyDescent="0.2">
      <c r="A307" s="64" t="s">
        <v>317</v>
      </c>
      <c r="B307" s="65">
        <v>7.3</v>
      </c>
      <c r="C307" s="65">
        <v>3.33</v>
      </c>
      <c r="D307" s="65">
        <v>4.46</v>
      </c>
      <c r="E307" s="65">
        <v>6.51</v>
      </c>
    </row>
    <row r="308" spans="1:5" x14ac:dyDescent="0.2">
      <c r="A308" s="64" t="s">
        <v>318</v>
      </c>
      <c r="B308" s="65">
        <v>6.26</v>
      </c>
      <c r="C308" s="65">
        <v>3.24</v>
      </c>
      <c r="D308" s="65">
        <v>4.3600000000000003</v>
      </c>
      <c r="E308" s="65">
        <v>6.38</v>
      </c>
    </row>
    <row r="309" spans="1:5" x14ac:dyDescent="0.2">
      <c r="A309" s="64" t="s">
        <v>319</v>
      </c>
      <c r="B309" s="65">
        <v>7.02</v>
      </c>
      <c r="C309" s="65">
        <v>3.24</v>
      </c>
      <c r="D309" s="65">
        <v>4.3600000000000003</v>
      </c>
      <c r="E309" s="65">
        <v>6.38</v>
      </c>
    </row>
    <row r="310" spans="1:5" x14ac:dyDescent="0.2">
      <c r="A310" s="64" t="s">
        <v>320</v>
      </c>
      <c r="B310" s="65">
        <v>762</v>
      </c>
      <c r="C310" s="65">
        <v>734</v>
      </c>
      <c r="D310" s="65">
        <v>720</v>
      </c>
      <c r="E310" s="65">
        <v>705</v>
      </c>
    </row>
    <row r="311" spans="1:5" x14ac:dyDescent="0.2">
      <c r="A311" s="1" t="s">
        <v>321</v>
      </c>
    </row>
    <row r="312" spans="1:5" x14ac:dyDescent="0.2">
      <c r="A312" s="64" t="s">
        <v>322</v>
      </c>
      <c r="B312" s="65">
        <v>791</v>
      </c>
      <c r="C312" s="65">
        <v>753</v>
      </c>
      <c r="D312" s="65">
        <v>736</v>
      </c>
      <c r="E312" s="65">
        <v>720</v>
      </c>
    </row>
    <row r="313" spans="1:5" x14ac:dyDescent="0.2">
      <c r="A313" s="64" t="s">
        <v>323</v>
      </c>
      <c r="B313" s="65">
        <v>757</v>
      </c>
      <c r="C313" s="65">
        <v>716</v>
      </c>
      <c r="D313" s="65">
        <v>705</v>
      </c>
      <c r="E313" s="65">
        <v>696</v>
      </c>
    </row>
    <row r="314" spans="1:5" x14ac:dyDescent="0.2">
      <c r="A314" s="64" t="s">
        <v>171</v>
      </c>
      <c r="B314" s="65">
        <v>10307</v>
      </c>
      <c r="C314" s="65">
        <v>3565</v>
      </c>
      <c r="D314" s="65">
        <v>8676</v>
      </c>
      <c r="E314" s="65">
        <v>4521</v>
      </c>
    </row>
    <row r="315" spans="1:5" x14ac:dyDescent="0.2">
      <c r="A315" s="64" t="s">
        <v>176</v>
      </c>
      <c r="B315" s="65">
        <v>2796</v>
      </c>
      <c r="C315" s="65">
        <v>3003</v>
      </c>
      <c r="D315" s="65">
        <v>2756</v>
      </c>
      <c r="E315" s="65">
        <v>2652</v>
      </c>
    </row>
    <row r="316" spans="1:5" x14ac:dyDescent="0.2">
      <c r="A316" s="64" t="s">
        <v>324</v>
      </c>
      <c r="B316" s="64" t="s">
        <v>83</v>
      </c>
      <c r="C316" s="64" t="s">
        <v>83</v>
      </c>
      <c r="D316" s="65">
        <v>0</v>
      </c>
      <c r="E316" s="65">
        <v>0</v>
      </c>
    </row>
    <row r="317" spans="1:5" x14ac:dyDescent="0.2">
      <c r="A317" s="64" t="s">
        <v>178</v>
      </c>
      <c r="B317" s="65">
        <v>16</v>
      </c>
      <c r="C317" s="65">
        <v>70</v>
      </c>
      <c r="D317" s="64" t="s">
        <v>83</v>
      </c>
      <c r="E317" s="65">
        <v>0</v>
      </c>
    </row>
    <row r="318" spans="1:5" x14ac:dyDescent="0.2">
      <c r="A318" s="64" t="s">
        <v>325</v>
      </c>
      <c r="B318" s="65">
        <v>1306</v>
      </c>
      <c r="C318" s="65">
        <v>-3024</v>
      </c>
      <c r="D318" s="65">
        <v>-2783</v>
      </c>
      <c r="E318" s="65">
        <v>-2215</v>
      </c>
    </row>
    <row r="319" spans="1:5" x14ac:dyDescent="0.2">
      <c r="A319" s="64" t="s">
        <v>184</v>
      </c>
      <c r="B319" s="65">
        <v>0</v>
      </c>
      <c r="C319" s="65">
        <v>964</v>
      </c>
      <c r="D319" s="65">
        <v>1072</v>
      </c>
      <c r="E319" s="65">
        <v>1275</v>
      </c>
    </row>
    <row r="320" spans="1:5" x14ac:dyDescent="0.2">
      <c r="A320" s="1" t="s">
        <v>326</v>
      </c>
    </row>
    <row r="321" spans="1:5" x14ac:dyDescent="0.2">
      <c r="A321" s="64" t="s">
        <v>327</v>
      </c>
      <c r="B321" s="65">
        <v>1825</v>
      </c>
      <c r="C321" s="65">
        <v>1169</v>
      </c>
      <c r="D321" s="65">
        <v>1438</v>
      </c>
      <c r="E321" s="65">
        <v>1304</v>
      </c>
    </row>
    <row r="322" spans="1:5" x14ac:dyDescent="0.2">
      <c r="A322" s="64" t="s">
        <v>194</v>
      </c>
      <c r="B322" s="65">
        <v>1257</v>
      </c>
      <c r="C322" s="65">
        <v>1208</v>
      </c>
      <c r="D322" s="65">
        <v>1379</v>
      </c>
      <c r="E322" s="65">
        <v>555</v>
      </c>
    </row>
    <row r="323" spans="1:5" x14ac:dyDescent="0.2">
      <c r="A323" s="64" t="s">
        <v>328</v>
      </c>
      <c r="B323" s="64" t="s">
        <v>83</v>
      </c>
      <c r="C323" s="64" t="s">
        <v>83</v>
      </c>
      <c r="D323" s="64" t="s">
        <v>83</v>
      </c>
      <c r="E323" s="64" t="s">
        <v>83</v>
      </c>
    </row>
    <row r="324" spans="1:5" x14ac:dyDescent="0.2">
      <c r="A324" s="64" t="s">
        <v>329</v>
      </c>
      <c r="B324" s="64" t="s">
        <v>83</v>
      </c>
      <c r="C324" s="64" t="s">
        <v>83</v>
      </c>
      <c r="D324" s="64" t="s">
        <v>83</v>
      </c>
      <c r="E324" s="64" t="s">
        <v>83</v>
      </c>
    </row>
    <row r="325" spans="1:5" x14ac:dyDescent="0.2">
      <c r="A325" s="64" t="s">
        <v>330</v>
      </c>
      <c r="B325" s="64" t="s">
        <v>83</v>
      </c>
      <c r="C325" s="64" t="s">
        <v>83</v>
      </c>
      <c r="D325" s="64" t="s">
        <v>83</v>
      </c>
      <c r="E325" s="64" t="s">
        <v>83</v>
      </c>
    </row>
    <row r="326" spans="1:5" x14ac:dyDescent="0.2">
      <c r="A326" s="64" t="s">
        <v>197</v>
      </c>
      <c r="B326" s="65">
        <v>1</v>
      </c>
      <c r="C326" s="65">
        <v>1</v>
      </c>
      <c r="D326" s="65">
        <v>1</v>
      </c>
      <c r="E326" s="65">
        <v>1</v>
      </c>
    </row>
    <row r="327" spans="1:5" x14ac:dyDescent="0.2">
      <c r="A327" s="64" t="s">
        <v>198</v>
      </c>
      <c r="B327" s="65">
        <v>1300</v>
      </c>
      <c r="C327" s="65">
        <v>1100</v>
      </c>
      <c r="D327" s="65">
        <v>900</v>
      </c>
      <c r="E327" s="65">
        <v>800</v>
      </c>
    </row>
    <row r="328" spans="1:5" x14ac:dyDescent="0.2">
      <c r="A328" s="64" t="s">
        <v>212</v>
      </c>
      <c r="B328" s="65">
        <v>0</v>
      </c>
      <c r="C328" s="65">
        <v>1.32</v>
      </c>
      <c r="D328" s="65">
        <v>1.48</v>
      </c>
      <c r="E328" s="65">
        <v>1.78</v>
      </c>
    </row>
    <row r="329" spans="1:5" x14ac:dyDescent="0.2">
      <c r="A329" s="64" t="s">
        <v>213</v>
      </c>
      <c r="B329" s="65">
        <v>0</v>
      </c>
      <c r="C329" s="65">
        <v>986</v>
      </c>
      <c r="D329" s="65">
        <v>1109</v>
      </c>
      <c r="E329" s="65">
        <v>1299</v>
      </c>
    </row>
    <row r="330" spans="1:5" x14ac:dyDescent="0.2">
      <c r="A330" s="64" t="s">
        <v>214</v>
      </c>
      <c r="B330" s="65">
        <v>0</v>
      </c>
      <c r="C330" s="65">
        <v>0</v>
      </c>
      <c r="D330" s="65">
        <v>0</v>
      </c>
      <c r="E330" s="65">
        <v>0</v>
      </c>
    </row>
    <row r="331" spans="1:5" x14ac:dyDescent="0.2">
      <c r="A331" s="64" t="s">
        <v>227</v>
      </c>
      <c r="B331" s="65">
        <v>0</v>
      </c>
      <c r="C331" s="65">
        <v>0</v>
      </c>
      <c r="D331" s="65">
        <v>0</v>
      </c>
      <c r="E331" s="65">
        <v>0</v>
      </c>
    </row>
    <row r="332" spans="1:5" x14ac:dyDescent="0.2">
      <c r="A332" s="64" t="s">
        <v>228</v>
      </c>
      <c r="B332" s="65">
        <v>0</v>
      </c>
      <c r="C332" s="65">
        <v>0</v>
      </c>
      <c r="D332" s="65">
        <v>0</v>
      </c>
      <c r="E332" s="65">
        <v>0</v>
      </c>
    </row>
    <row r="333" spans="1:5" x14ac:dyDescent="0.2">
      <c r="A333" s="64" t="s">
        <v>230</v>
      </c>
      <c r="B333" s="65">
        <v>56.17</v>
      </c>
      <c r="C333" s="65">
        <v>40.22</v>
      </c>
      <c r="D333" s="65">
        <v>76.5</v>
      </c>
      <c r="E333" s="65">
        <v>115.24</v>
      </c>
    </row>
    <row r="334" spans="1:5" x14ac:dyDescent="0.2">
      <c r="A334" s="64" t="s">
        <v>233</v>
      </c>
      <c r="B334" s="65">
        <v>56.81</v>
      </c>
      <c r="C334" s="65">
        <v>40.619999999999997</v>
      </c>
      <c r="D334" s="65">
        <v>82.88</v>
      </c>
      <c r="E334" s="65">
        <v>103.6</v>
      </c>
    </row>
    <row r="335" spans="1:5" x14ac:dyDescent="0.2">
      <c r="A335" s="64" t="s">
        <v>234</v>
      </c>
      <c r="B335" s="65">
        <v>279</v>
      </c>
      <c r="C335" s="65">
        <v>279</v>
      </c>
      <c r="D335" s="65">
        <v>150</v>
      </c>
      <c r="E335" s="65">
        <v>141</v>
      </c>
    </row>
    <row r="336" spans="1:5" x14ac:dyDescent="0.2">
      <c r="A336" s="64" t="s">
        <v>240</v>
      </c>
      <c r="B336" s="65">
        <v>431</v>
      </c>
      <c r="C336" s="65">
        <v>396</v>
      </c>
      <c r="D336" s="65">
        <v>371</v>
      </c>
      <c r="E336" s="65">
        <v>355</v>
      </c>
    </row>
    <row r="337" spans="1:5" x14ac:dyDescent="0.2">
      <c r="A337" s="64" t="s">
        <v>242</v>
      </c>
      <c r="B337" s="65">
        <v>2577</v>
      </c>
      <c r="C337" s="65">
        <v>2779</v>
      </c>
      <c r="D337" s="65">
        <v>2801</v>
      </c>
      <c r="E337" s="65">
        <v>3061</v>
      </c>
    </row>
  </sheetData>
  <mergeCells count="3">
    <mergeCell ref="I17:N17"/>
    <mergeCell ref="I1:N1"/>
    <mergeCell ref="I31:N31"/>
  </mergeCells>
  <phoneticPr fontId="17" type="noConversion"/>
  <printOptions horizontalCentered="1"/>
  <pageMargins left="0.3" right="0.3" top="0.61" bottom="0.37" header="0.1" footer="0.1"/>
  <pageSetup paperSize="9" pageOrder="overThenDown" orientation="portrait" useFirstPageNumber="1" horizontalDpi="300" verticalDpi="300" r:id="rId1"/>
  <headerFooter alignWithMargins="0">
    <oddHeader>&amp;P</oddHeader>
    <oddFoote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649FD-C043-4D84-858B-58A4CFEA90CA}">
  <dimension ref="A1:L89"/>
  <sheetViews>
    <sheetView zoomScale="140" zoomScaleNormal="140" workbookViewId="0"/>
  </sheetViews>
  <sheetFormatPr defaultColWidth="10.28515625" defaultRowHeight="15" x14ac:dyDescent="0.25"/>
  <cols>
    <col min="1" max="1" width="46" style="3" customWidth="1"/>
    <col min="2" max="2" width="13.28515625" style="3" customWidth="1"/>
    <col min="3" max="3" width="9.85546875" style="3" customWidth="1"/>
    <col min="4" max="8" width="11.28515625" style="3" customWidth="1"/>
    <col min="9" max="9" width="9.85546875" style="3" customWidth="1"/>
    <col min="10" max="16384" width="10.28515625" style="3"/>
  </cols>
  <sheetData>
    <row r="1" spans="1:12" x14ac:dyDescent="0.25">
      <c r="A1" s="2" t="s">
        <v>18</v>
      </c>
    </row>
    <row r="3" spans="1:12" x14ac:dyDescent="0.25">
      <c r="A3" s="4" t="s">
        <v>21</v>
      </c>
      <c r="B3" s="5"/>
      <c r="C3" s="6"/>
      <c r="D3" s="6"/>
      <c r="E3" s="6"/>
      <c r="F3" s="6"/>
      <c r="G3" s="6"/>
      <c r="H3" s="7"/>
      <c r="I3" s="7"/>
      <c r="J3" s="7"/>
    </row>
    <row r="4" spans="1:12" x14ac:dyDescent="0.25">
      <c r="A4" s="8" t="s">
        <v>2</v>
      </c>
      <c r="B4" s="82">
        <f>'Dell''s Financial Statements'!E24*0.06</f>
        <v>885.36</v>
      </c>
      <c r="C4" s="15" t="s">
        <v>38</v>
      </c>
      <c r="D4" s="10"/>
      <c r="E4" s="9"/>
      <c r="F4" s="6"/>
      <c r="G4" s="10"/>
      <c r="H4" s="7"/>
      <c r="I4" s="7"/>
      <c r="J4" s="7"/>
    </row>
    <row r="5" spans="1:12" x14ac:dyDescent="0.25">
      <c r="A5" s="11" t="s">
        <v>20</v>
      </c>
      <c r="B5" s="12">
        <v>5</v>
      </c>
      <c r="C5" s="48" t="s">
        <v>22</v>
      </c>
      <c r="D5" s="11"/>
      <c r="E5" s="13"/>
      <c r="F5" s="6"/>
      <c r="G5" s="14"/>
      <c r="H5" s="7"/>
      <c r="I5" s="7"/>
      <c r="J5" s="7"/>
    </row>
    <row r="6" spans="1:12" x14ac:dyDescent="0.25">
      <c r="A6" s="11" t="s">
        <v>3</v>
      </c>
      <c r="B6" s="83">
        <f>B4/B5</f>
        <v>177.072</v>
      </c>
      <c r="C6" s="48" t="s">
        <v>24</v>
      </c>
      <c r="D6" s="11"/>
      <c r="E6" s="13"/>
      <c r="F6" s="6"/>
      <c r="G6" s="14"/>
      <c r="H6" s="7"/>
      <c r="I6" s="7"/>
      <c r="J6" s="7"/>
    </row>
    <row r="7" spans="1:12" x14ac:dyDescent="0.25">
      <c r="A7" s="3" t="s">
        <v>19</v>
      </c>
      <c r="B7" s="47">
        <f>'Dell''s Financial Statements'!L14</f>
        <v>0.10519321523119905</v>
      </c>
      <c r="C7" s="49" t="s">
        <v>23</v>
      </c>
      <c r="F7" s="6"/>
      <c r="G7" s="14"/>
      <c r="H7" s="7"/>
      <c r="I7" s="7"/>
      <c r="J7" s="16"/>
    </row>
    <row r="8" spans="1:12" x14ac:dyDescent="0.25">
      <c r="A8" s="11" t="s">
        <v>28</v>
      </c>
      <c r="B8" s="17">
        <f>'Dell''s Financial Statements'!L28</f>
        <v>1486</v>
      </c>
      <c r="C8" s="3" t="s">
        <v>30</v>
      </c>
      <c r="D8" s="6"/>
      <c r="E8" s="20"/>
      <c r="F8" s="20"/>
      <c r="G8" s="20"/>
      <c r="H8" s="20"/>
      <c r="I8" s="20"/>
      <c r="J8" s="20"/>
      <c r="K8" s="20"/>
      <c r="L8" s="20"/>
    </row>
    <row r="9" spans="1:12" x14ac:dyDescent="0.25">
      <c r="A9" s="11" t="s">
        <v>29</v>
      </c>
      <c r="B9" s="53">
        <f>'Dell''s Financial Statements'!L28/'Dell''s Financial Statements'!L4</f>
        <v>1.5549300490755176E-2</v>
      </c>
      <c r="C9" s="9" t="s">
        <v>31</v>
      </c>
      <c r="D9" s="6"/>
      <c r="E9" s="20"/>
      <c r="F9" s="20"/>
      <c r="G9" s="20"/>
      <c r="H9" s="20"/>
      <c r="I9" s="20"/>
      <c r="J9" s="20"/>
      <c r="K9" s="20"/>
      <c r="L9" s="20"/>
    </row>
    <row r="10" spans="1:12" x14ac:dyDescent="0.25">
      <c r="A10" s="11" t="s">
        <v>4</v>
      </c>
      <c r="B10" s="82">
        <f>0.01*C19</f>
        <v>57.340199999999996</v>
      </c>
      <c r="C10" s="21" t="s">
        <v>50</v>
      </c>
      <c r="D10" s="21"/>
      <c r="E10" s="20"/>
      <c r="F10" s="20"/>
      <c r="G10" s="20"/>
      <c r="H10" s="20"/>
      <c r="I10" s="20"/>
      <c r="J10" s="20"/>
      <c r="K10" s="20"/>
      <c r="L10" s="20"/>
    </row>
    <row r="11" spans="1:12" x14ac:dyDescent="0.25">
      <c r="A11" s="22" t="s">
        <v>34</v>
      </c>
      <c r="B11" s="12">
        <v>0</v>
      </c>
      <c r="C11" s="21" t="s">
        <v>36</v>
      </c>
      <c r="D11" s="21"/>
      <c r="E11" s="20"/>
      <c r="F11" s="20"/>
      <c r="G11" s="20"/>
      <c r="H11" s="20"/>
      <c r="I11" s="20"/>
      <c r="J11" s="20"/>
      <c r="K11" s="20"/>
      <c r="L11" s="20"/>
    </row>
    <row r="12" spans="1:12" x14ac:dyDescent="0.25">
      <c r="A12" s="22" t="s">
        <v>5</v>
      </c>
      <c r="B12" s="51">
        <v>0.21</v>
      </c>
      <c r="C12" s="9"/>
      <c r="D12" s="6"/>
      <c r="E12" s="9"/>
      <c r="F12" s="6"/>
      <c r="G12" s="14"/>
      <c r="H12" s="7"/>
      <c r="I12" s="7"/>
      <c r="J12" s="16"/>
    </row>
    <row r="13" spans="1:12" x14ac:dyDescent="0.25">
      <c r="A13" s="22" t="s">
        <v>6</v>
      </c>
      <c r="B13" s="51">
        <v>0.12</v>
      </c>
      <c r="C13" s="9"/>
      <c r="D13" s="6"/>
      <c r="E13" s="9"/>
      <c r="F13" s="6"/>
      <c r="G13" s="14"/>
      <c r="H13" s="7"/>
      <c r="I13" s="7"/>
      <c r="J13" s="16"/>
    </row>
    <row r="14" spans="1:12" x14ac:dyDescent="0.25">
      <c r="A14" s="10" t="s">
        <v>33</v>
      </c>
      <c r="B14" s="82">
        <f>0.06*'Dell''s Financial Statements'!L4</f>
        <v>5734.0199999999995</v>
      </c>
      <c r="C14" s="13" t="s">
        <v>51</v>
      </c>
      <c r="D14" s="18"/>
      <c r="E14" s="2"/>
      <c r="F14" s="6"/>
      <c r="G14" s="14"/>
      <c r="H14" s="7"/>
      <c r="I14" s="19"/>
      <c r="J14" s="19"/>
      <c r="K14" s="18"/>
      <c r="L14" s="18"/>
    </row>
    <row r="15" spans="1:12" x14ac:dyDescent="0.25">
      <c r="A15" s="46" t="s">
        <v>35</v>
      </c>
      <c r="B15" s="23"/>
      <c r="C15" s="9"/>
      <c r="D15" s="50">
        <v>0.1</v>
      </c>
      <c r="E15" s="51">
        <v>0.08</v>
      </c>
      <c r="F15" s="50">
        <v>0.03</v>
      </c>
      <c r="G15" s="50">
        <v>0.03</v>
      </c>
      <c r="H15" s="7"/>
      <c r="I15" s="7"/>
      <c r="J15" s="16"/>
    </row>
    <row r="16" spans="1:12" x14ac:dyDescent="0.25">
      <c r="A16" s="7"/>
      <c r="B16" s="24" t="s">
        <v>7</v>
      </c>
      <c r="C16" s="24" t="s">
        <v>7</v>
      </c>
      <c r="D16" s="24" t="s">
        <v>7</v>
      </c>
      <c r="E16" s="24" t="s">
        <v>7</v>
      </c>
      <c r="F16" s="24" t="s">
        <v>7</v>
      </c>
      <c r="G16" s="24" t="s">
        <v>7</v>
      </c>
      <c r="H16" s="24"/>
      <c r="I16" s="24"/>
      <c r="J16" s="16"/>
    </row>
    <row r="17" spans="1:10" x14ac:dyDescent="0.25">
      <c r="A17" s="7"/>
      <c r="B17" s="24">
        <v>2025</v>
      </c>
      <c r="C17" s="24">
        <f>B17+1</f>
        <v>2026</v>
      </c>
      <c r="D17" s="24">
        <f>C17+1</f>
        <v>2027</v>
      </c>
      <c r="E17" s="24">
        <f>D17+1</f>
        <v>2028</v>
      </c>
      <c r="F17" s="24">
        <f>E17+1</f>
        <v>2029</v>
      </c>
      <c r="G17" s="24">
        <f>F17+1</f>
        <v>2030</v>
      </c>
      <c r="H17" s="24"/>
      <c r="I17" s="24"/>
      <c r="J17" s="16"/>
    </row>
    <row r="18" spans="1:10" x14ac:dyDescent="0.25">
      <c r="A18" s="25" t="s">
        <v>8</v>
      </c>
      <c r="B18" s="26">
        <v>0</v>
      </c>
      <c r="C18" s="27">
        <v>1</v>
      </c>
      <c r="D18" s="27">
        <v>2</v>
      </c>
      <c r="E18" s="27">
        <v>3</v>
      </c>
      <c r="F18" s="27">
        <v>4</v>
      </c>
      <c r="G18" s="27">
        <v>5</v>
      </c>
      <c r="H18" s="27"/>
      <c r="I18" s="7"/>
      <c r="J18" s="7"/>
    </row>
    <row r="19" spans="1:10" x14ac:dyDescent="0.25">
      <c r="A19" s="8" t="s">
        <v>32</v>
      </c>
      <c r="B19" s="28"/>
      <c r="C19" s="84">
        <f>B14</f>
        <v>5734.0199999999995</v>
      </c>
      <c r="D19" s="84">
        <f>C19*(1+D15)</f>
        <v>6307.4219999999996</v>
      </c>
      <c r="E19" s="84">
        <f t="shared" ref="E19:G19" si="0">D19*(1+E15)</f>
        <v>6812.0157600000002</v>
      </c>
      <c r="F19" s="84">
        <f t="shared" si="0"/>
        <v>7016.3762328000003</v>
      </c>
      <c r="G19" s="84">
        <f t="shared" si="0"/>
        <v>7226.8675197840003</v>
      </c>
      <c r="H19" s="29"/>
      <c r="I19" s="29"/>
      <c r="J19" s="7"/>
    </row>
    <row r="20" spans="1:10" x14ac:dyDescent="0.25">
      <c r="A20" s="10" t="s">
        <v>25</v>
      </c>
      <c r="B20" s="30"/>
      <c r="C20" s="85">
        <f>$B$7*C19</f>
        <v>603.17999999999995</v>
      </c>
      <c r="D20" s="85">
        <f t="shared" ref="D20:G20" si="1">$B$7*D19</f>
        <v>663.49799999999993</v>
      </c>
      <c r="E20" s="85">
        <f t="shared" si="1"/>
        <v>716.57784000000004</v>
      </c>
      <c r="F20" s="85">
        <f t="shared" si="1"/>
        <v>738.07517519999999</v>
      </c>
      <c r="G20" s="85">
        <f t="shared" si="1"/>
        <v>760.21743045599999</v>
      </c>
      <c r="H20" s="31"/>
      <c r="I20" s="31"/>
      <c r="J20" s="7"/>
    </row>
    <row r="21" spans="1:10" x14ac:dyDescent="0.25">
      <c r="A21" s="10" t="s">
        <v>26</v>
      </c>
      <c r="B21" s="30"/>
      <c r="C21" s="85">
        <f>$B$6</f>
        <v>177.072</v>
      </c>
      <c r="D21" s="85">
        <f t="shared" ref="D21:G21" si="2">$B$6</f>
        <v>177.072</v>
      </c>
      <c r="E21" s="85">
        <f t="shared" si="2"/>
        <v>177.072</v>
      </c>
      <c r="F21" s="85">
        <f t="shared" si="2"/>
        <v>177.072</v>
      </c>
      <c r="G21" s="85">
        <f t="shared" si="2"/>
        <v>177.072</v>
      </c>
      <c r="H21" s="31"/>
      <c r="I21" s="31"/>
      <c r="J21" s="7"/>
    </row>
    <row r="22" spans="1:10" x14ac:dyDescent="0.25">
      <c r="A22" s="10" t="s">
        <v>27</v>
      </c>
      <c r="B22" s="30"/>
      <c r="C22" s="85">
        <f>(C20-C21)*$B$12</f>
        <v>89.482679999999988</v>
      </c>
      <c r="D22" s="85">
        <f t="shared" ref="D22:G22" si="3">(D20-D21)*$B$12</f>
        <v>102.14945999999998</v>
      </c>
      <c r="E22" s="85">
        <f t="shared" si="3"/>
        <v>113.29622640000001</v>
      </c>
      <c r="F22" s="85">
        <f t="shared" si="3"/>
        <v>117.81066679199999</v>
      </c>
      <c r="G22" s="85">
        <f t="shared" si="3"/>
        <v>122.46054039575999</v>
      </c>
      <c r="H22" s="31"/>
      <c r="I22" s="31"/>
      <c r="J22" s="7"/>
    </row>
    <row r="23" spans="1:10" x14ac:dyDescent="0.25">
      <c r="A23" s="6" t="s">
        <v>9</v>
      </c>
      <c r="B23" s="30"/>
      <c r="C23" s="85">
        <f>(C20-C21)*(1-$B$12)</f>
        <v>336.62531999999999</v>
      </c>
      <c r="D23" s="85">
        <f t="shared" ref="D23:G23" si="4">(D20-D21)*(1-$B$12)</f>
        <v>384.27653999999995</v>
      </c>
      <c r="E23" s="85">
        <f t="shared" si="4"/>
        <v>426.20961360000007</v>
      </c>
      <c r="F23" s="85">
        <f t="shared" si="4"/>
        <v>443.19250840800004</v>
      </c>
      <c r="G23" s="85">
        <f t="shared" si="4"/>
        <v>460.68489006024004</v>
      </c>
      <c r="H23" s="31"/>
      <c r="I23" s="31"/>
      <c r="J23" s="7"/>
    </row>
    <row r="24" spans="1:10" x14ac:dyDescent="0.25">
      <c r="A24" s="10"/>
      <c r="B24" s="31"/>
      <c r="C24" s="31"/>
      <c r="D24" s="31"/>
      <c r="E24" s="31"/>
      <c r="F24" s="31"/>
      <c r="G24" s="31"/>
      <c r="H24" s="32"/>
      <c r="I24" s="32"/>
      <c r="J24" s="7"/>
    </row>
    <row r="25" spans="1:10" x14ac:dyDescent="0.25">
      <c r="A25" s="33" t="s">
        <v>10</v>
      </c>
      <c r="B25" s="31"/>
      <c r="C25" s="31"/>
      <c r="D25" s="31"/>
      <c r="E25" s="31"/>
      <c r="F25" s="31"/>
      <c r="G25" s="31"/>
      <c r="H25" s="31"/>
      <c r="I25" s="32"/>
      <c r="J25" s="7"/>
    </row>
    <row r="26" spans="1:10" x14ac:dyDescent="0.25">
      <c r="A26" s="6" t="s">
        <v>11</v>
      </c>
      <c r="B26" s="85">
        <f>B10</f>
        <v>57.340199999999996</v>
      </c>
      <c r="C26" s="85">
        <f>('Dell''s Financial Statements'!$L$28/'Dell''s Financial Statements'!$L$4)*'Template - Dell'!C19</f>
        <v>89.159999999999982</v>
      </c>
      <c r="D26" s="85">
        <f>('Dell''s Financial Statements'!$L$28/'Dell''s Financial Statements'!$L$4)*'Template - Dell'!D19</f>
        <v>98.075999999999993</v>
      </c>
      <c r="E26" s="85">
        <f>('Dell''s Financial Statements'!$L$28/'Dell''s Financial Statements'!$L$4)*'Template - Dell'!E19</f>
        <v>105.92207999999999</v>
      </c>
      <c r="F26" s="85">
        <f>('Dell''s Financial Statements'!$L$28/'Dell''s Financial Statements'!$L$4)*'Template - Dell'!F19</f>
        <v>109.0997424</v>
      </c>
      <c r="G26" s="85">
        <v>0</v>
      </c>
      <c r="H26" s="31"/>
      <c r="I26" s="32"/>
      <c r="J26" s="7"/>
    </row>
    <row r="27" spans="1:10" x14ac:dyDescent="0.25">
      <c r="A27" s="6" t="s">
        <v>12</v>
      </c>
      <c r="B27" s="31"/>
      <c r="C27" s="85">
        <f>C26-B26</f>
        <v>31.819799999999987</v>
      </c>
      <c r="D27" s="85">
        <f t="shared" ref="D27:F27" si="5">D26-C26</f>
        <v>8.916000000000011</v>
      </c>
      <c r="E27" s="85">
        <f t="shared" si="5"/>
        <v>7.8460800000000006</v>
      </c>
      <c r="F27" s="85">
        <f t="shared" si="5"/>
        <v>3.1776624000000027</v>
      </c>
      <c r="G27" s="85">
        <f>G26-F26</f>
        <v>-109.0997424</v>
      </c>
      <c r="H27" s="31"/>
      <c r="I27" s="32"/>
      <c r="J27" s="7"/>
    </row>
    <row r="28" spans="1:10" x14ac:dyDescent="0.25">
      <c r="A28" s="6" t="s">
        <v>13</v>
      </c>
      <c r="B28" s="31"/>
      <c r="C28" s="85">
        <f>-C27</f>
        <v>-31.819799999999987</v>
      </c>
      <c r="D28" s="85">
        <f t="shared" ref="D28:G28" si="6">-D27</f>
        <v>-8.916000000000011</v>
      </c>
      <c r="E28" s="85">
        <f t="shared" si="6"/>
        <v>-7.8460800000000006</v>
      </c>
      <c r="F28" s="85">
        <f t="shared" si="6"/>
        <v>-3.1776624000000027</v>
      </c>
      <c r="G28" s="85">
        <f t="shared" si="6"/>
        <v>109.0997424</v>
      </c>
      <c r="H28" s="31"/>
      <c r="I28" s="32"/>
      <c r="J28" s="7"/>
    </row>
    <row r="29" spans="1:10" x14ac:dyDescent="0.25">
      <c r="A29" s="7"/>
      <c r="B29" s="32"/>
      <c r="C29" s="32"/>
      <c r="D29" s="32"/>
      <c r="E29" s="32"/>
      <c r="F29" s="32"/>
      <c r="G29" s="32"/>
      <c r="H29" s="32"/>
      <c r="I29" s="32"/>
      <c r="J29" s="7"/>
    </row>
    <row r="30" spans="1:10" x14ac:dyDescent="0.25">
      <c r="A30" s="34" t="s">
        <v>37</v>
      </c>
      <c r="B30" s="31"/>
      <c r="C30" s="31"/>
      <c r="D30" s="31"/>
      <c r="E30" s="31"/>
      <c r="F30" s="31"/>
      <c r="G30" s="31"/>
      <c r="H30" s="31"/>
      <c r="I30" s="32"/>
      <c r="J30" s="7"/>
    </row>
    <row r="31" spans="1:10" x14ac:dyDescent="0.25">
      <c r="A31" s="6" t="s">
        <v>9</v>
      </c>
      <c r="B31" s="54"/>
      <c r="C31" s="85">
        <f>C23</f>
        <v>336.62531999999999</v>
      </c>
      <c r="D31" s="85">
        <f t="shared" ref="D31:G31" si="7">D23</f>
        <v>384.27653999999995</v>
      </c>
      <c r="E31" s="85">
        <f t="shared" si="7"/>
        <v>426.20961360000007</v>
      </c>
      <c r="F31" s="85">
        <f t="shared" si="7"/>
        <v>443.19250840800004</v>
      </c>
      <c r="G31" s="85">
        <f t="shared" si="7"/>
        <v>460.68489006024004</v>
      </c>
      <c r="H31" s="31"/>
      <c r="I31" s="32"/>
      <c r="J31" s="7"/>
    </row>
    <row r="32" spans="1:10" x14ac:dyDescent="0.25">
      <c r="A32" s="6" t="s">
        <v>41</v>
      </c>
      <c r="B32" s="31"/>
      <c r="C32" s="85">
        <f>C21</f>
        <v>177.072</v>
      </c>
      <c r="D32" s="85">
        <f t="shared" ref="D32:G32" si="8">D21</f>
        <v>177.072</v>
      </c>
      <c r="E32" s="85">
        <f t="shared" si="8"/>
        <v>177.072</v>
      </c>
      <c r="F32" s="85">
        <f t="shared" si="8"/>
        <v>177.072</v>
      </c>
      <c r="G32" s="85">
        <f t="shared" si="8"/>
        <v>177.072</v>
      </c>
      <c r="H32" s="31"/>
      <c r="I32" s="32"/>
      <c r="J32" s="7"/>
    </row>
    <row r="33" spans="1:10" x14ac:dyDescent="0.25">
      <c r="A33" s="6" t="s">
        <v>39</v>
      </c>
      <c r="B33" s="31"/>
      <c r="C33" s="85">
        <f>C27</f>
        <v>31.819799999999987</v>
      </c>
      <c r="D33" s="85">
        <f t="shared" ref="D33:G33" si="9">D27</f>
        <v>8.916000000000011</v>
      </c>
      <c r="E33" s="85">
        <f t="shared" si="9"/>
        <v>7.8460800000000006</v>
      </c>
      <c r="F33" s="85">
        <f t="shared" si="9"/>
        <v>3.1776624000000027</v>
      </c>
      <c r="G33" s="85">
        <f t="shared" si="9"/>
        <v>-109.0997424</v>
      </c>
      <c r="H33" s="31"/>
      <c r="I33" s="32"/>
      <c r="J33" s="7"/>
    </row>
    <row r="34" spans="1:10" x14ac:dyDescent="0.25">
      <c r="A34" s="6" t="s">
        <v>40</v>
      </c>
      <c r="B34" s="85">
        <f>B4</f>
        <v>885.36</v>
      </c>
      <c r="C34" s="31">
        <v>0</v>
      </c>
      <c r="D34" s="31">
        <v>0</v>
      </c>
      <c r="E34" s="31">
        <v>0</v>
      </c>
      <c r="F34" s="31">
        <v>0</v>
      </c>
      <c r="G34" s="31">
        <v>0</v>
      </c>
      <c r="H34" s="31"/>
      <c r="I34" s="32"/>
      <c r="J34" s="7"/>
    </row>
    <row r="35" spans="1:10" x14ac:dyDescent="0.25">
      <c r="A35" s="35" t="s">
        <v>14</v>
      </c>
      <c r="B35" s="85">
        <f>-(B34+B26)</f>
        <v>-942.7002</v>
      </c>
      <c r="C35" s="85">
        <f>C31+C32-C34-C33</f>
        <v>481.87752</v>
      </c>
      <c r="D35" s="85">
        <f t="shared" ref="D35:G35" si="10">D31+D32-D34-D33</f>
        <v>552.4325399999999</v>
      </c>
      <c r="E35" s="85">
        <f t="shared" si="10"/>
        <v>595.4355336000001</v>
      </c>
      <c r="F35" s="85">
        <f t="shared" si="10"/>
        <v>617.08684600799995</v>
      </c>
      <c r="G35" s="85">
        <f t="shared" si="10"/>
        <v>746.85663246024001</v>
      </c>
      <c r="H35" s="31"/>
      <c r="I35" s="32"/>
      <c r="J35" s="7"/>
    </row>
    <row r="36" spans="1:10" x14ac:dyDescent="0.25">
      <c r="A36" s="6"/>
      <c r="B36" s="31"/>
      <c r="C36" s="31"/>
      <c r="D36" s="31"/>
      <c r="E36" s="31"/>
      <c r="F36" s="31"/>
      <c r="G36" s="31"/>
      <c r="H36" s="31"/>
      <c r="I36" s="32"/>
      <c r="J36" s="7"/>
    </row>
    <row r="37" spans="1:10" x14ac:dyDescent="0.25">
      <c r="A37" s="6" t="s">
        <v>15</v>
      </c>
      <c r="B37" s="36">
        <f>(1/(1+$B$13)^B18)</f>
        <v>1</v>
      </c>
      <c r="C37" s="36">
        <f t="shared" ref="C37:G37" si="11">(1/(1+$B$13)^C18)</f>
        <v>0.89285714285714279</v>
      </c>
      <c r="D37" s="36">
        <f t="shared" si="11"/>
        <v>0.79719387755102034</v>
      </c>
      <c r="E37" s="36">
        <f t="shared" si="11"/>
        <v>0.71178024781341087</v>
      </c>
      <c r="F37" s="36">
        <f t="shared" si="11"/>
        <v>0.63551807840483121</v>
      </c>
      <c r="G37" s="36">
        <f t="shared" si="11"/>
        <v>0.56742685571859919</v>
      </c>
      <c r="H37" s="36"/>
      <c r="I37" s="32"/>
      <c r="J37" s="7"/>
    </row>
    <row r="38" spans="1:10" x14ac:dyDescent="0.25">
      <c r="A38" s="6" t="s">
        <v>16</v>
      </c>
      <c r="B38" s="85">
        <f>B37*B35</f>
        <v>-942.7002</v>
      </c>
      <c r="C38" s="85">
        <f t="shared" ref="C38:G38" si="12">C37*C35</f>
        <v>430.24778571428567</v>
      </c>
      <c r="D38" s="85">
        <f t="shared" si="12"/>
        <v>440.39583864795907</v>
      </c>
      <c r="E38" s="85">
        <f t="shared" si="12"/>
        <v>423.81925166271861</v>
      </c>
      <c r="F38" s="85">
        <f t="shared" si="12"/>
        <v>392.16984658390214</v>
      </c>
      <c r="G38" s="85">
        <f t="shared" si="12"/>
        <v>423.78651062949547</v>
      </c>
      <c r="H38" s="31"/>
      <c r="I38" s="32"/>
      <c r="J38" s="7"/>
    </row>
    <row r="39" spans="1:10" x14ac:dyDescent="0.25">
      <c r="A39" s="37" t="s">
        <v>17</v>
      </c>
      <c r="B39" s="86">
        <f>B35+NPV(B13,C35,D35,E35,F35,G35)</f>
        <v>1167.7190332383605</v>
      </c>
      <c r="C39" s="32"/>
      <c r="D39" s="32"/>
      <c r="E39" s="32"/>
      <c r="F39" s="32"/>
      <c r="G39" s="32"/>
      <c r="H39" s="32"/>
      <c r="I39" s="32"/>
      <c r="J39" s="7"/>
    </row>
    <row r="40" spans="1:10" x14ac:dyDescent="0.25">
      <c r="B40" s="39"/>
      <c r="C40" s="39"/>
      <c r="D40" s="39"/>
      <c r="E40" s="39"/>
      <c r="F40" s="39"/>
      <c r="G40" s="39"/>
      <c r="H40" s="39"/>
      <c r="I40" s="32"/>
      <c r="J40" s="7"/>
    </row>
    <row r="41" spans="1:10" x14ac:dyDescent="0.25">
      <c r="B41" s="40"/>
      <c r="C41" s="40"/>
      <c r="D41" s="40"/>
      <c r="E41" s="40"/>
      <c r="F41" s="40"/>
      <c r="G41" s="40"/>
      <c r="H41" s="40"/>
      <c r="I41" s="41"/>
      <c r="J41" s="7"/>
    </row>
    <row r="42" spans="1:10" x14ac:dyDescent="0.25">
      <c r="I42" s="7"/>
      <c r="J42" s="7"/>
    </row>
    <row r="43" spans="1:10" x14ac:dyDescent="0.25">
      <c r="I43" s="7"/>
      <c r="J43" s="7"/>
    </row>
    <row r="44" spans="1:10" x14ac:dyDescent="0.25">
      <c r="I44" s="7"/>
      <c r="J44" s="7"/>
    </row>
    <row r="45" spans="1:10" x14ac:dyDescent="0.25">
      <c r="I45" s="7"/>
      <c r="J45" s="7"/>
    </row>
    <row r="46" spans="1:10" x14ac:dyDescent="0.25">
      <c r="I46" s="7"/>
      <c r="J46" s="7"/>
    </row>
    <row r="47" spans="1:10" x14ac:dyDescent="0.25">
      <c r="I47" s="7"/>
      <c r="J47" s="7"/>
    </row>
    <row r="48" spans="1:10" x14ac:dyDescent="0.25">
      <c r="I48" s="7"/>
      <c r="J48" s="7"/>
    </row>
    <row r="49" spans="1:10" x14ac:dyDescent="0.25">
      <c r="I49" s="7"/>
      <c r="J49" s="7"/>
    </row>
    <row r="50" spans="1:10" x14ac:dyDescent="0.25">
      <c r="I50" s="7"/>
      <c r="J50" s="7"/>
    </row>
    <row r="51" spans="1:10" x14ac:dyDescent="0.25">
      <c r="I51" s="7"/>
      <c r="J51" s="7"/>
    </row>
    <row r="52" spans="1:10" x14ac:dyDescent="0.25">
      <c r="I52" s="7"/>
      <c r="J52" s="7"/>
    </row>
    <row r="53" spans="1:10" x14ac:dyDescent="0.25">
      <c r="I53" s="7"/>
      <c r="J53" s="7"/>
    </row>
    <row r="54" spans="1:10" x14ac:dyDescent="0.25">
      <c r="A54" s="7"/>
      <c r="B54" s="42"/>
      <c r="C54" s="42"/>
      <c r="D54" s="42"/>
      <c r="E54" s="42"/>
      <c r="F54" s="42"/>
      <c r="G54" s="7"/>
      <c r="H54" s="7"/>
      <c r="I54" s="7"/>
      <c r="J54" s="7"/>
    </row>
    <row r="55" spans="1:10" x14ac:dyDescent="0.25">
      <c r="F55" s="7"/>
      <c r="G55" s="7"/>
      <c r="H55" s="7"/>
      <c r="I55" s="7"/>
      <c r="J55" s="7"/>
    </row>
    <row r="56" spans="1:10" x14ac:dyDescent="0.25">
      <c r="F56" s="7"/>
      <c r="G56" s="7"/>
      <c r="H56" s="7"/>
      <c r="I56" s="7"/>
      <c r="J56" s="7"/>
    </row>
    <row r="57" spans="1:10" x14ac:dyDescent="0.25">
      <c r="F57" s="7"/>
      <c r="G57" s="7"/>
      <c r="H57" s="7"/>
      <c r="I57" s="7"/>
      <c r="J57" s="7"/>
    </row>
    <row r="58" spans="1:10" x14ac:dyDescent="0.25">
      <c r="F58" s="7"/>
      <c r="G58" s="7"/>
      <c r="H58" s="7"/>
      <c r="I58" s="7"/>
      <c r="J58" s="7"/>
    </row>
    <row r="59" spans="1:10" x14ac:dyDescent="0.25">
      <c r="F59" s="7"/>
      <c r="G59" s="7"/>
      <c r="H59" s="7"/>
      <c r="I59" s="7"/>
      <c r="J59" s="7"/>
    </row>
    <row r="60" spans="1:10" x14ac:dyDescent="0.25">
      <c r="F60" s="7"/>
      <c r="G60" s="7"/>
      <c r="H60" s="7"/>
      <c r="I60" s="7"/>
      <c r="J60" s="7"/>
    </row>
    <row r="61" spans="1:10" x14ac:dyDescent="0.25">
      <c r="F61" s="7"/>
      <c r="G61" s="7"/>
      <c r="H61" s="7"/>
      <c r="I61" s="7"/>
      <c r="J61" s="7"/>
    </row>
    <row r="62" spans="1:10" x14ac:dyDescent="0.25">
      <c r="F62" s="7"/>
      <c r="G62" s="7"/>
      <c r="H62" s="7"/>
      <c r="I62" s="7"/>
      <c r="J62" s="7"/>
    </row>
    <row r="63" spans="1:10" x14ac:dyDescent="0.25">
      <c r="F63" s="7"/>
      <c r="G63" s="7"/>
      <c r="H63" s="7"/>
      <c r="I63" s="7"/>
      <c r="J63" s="7"/>
    </row>
    <row r="64" spans="1:10" x14ac:dyDescent="0.25">
      <c r="A64" s="43"/>
      <c r="C64" s="42"/>
      <c r="D64" s="42"/>
      <c r="E64" s="44"/>
      <c r="F64" s="7"/>
      <c r="G64" s="7"/>
      <c r="H64" s="7"/>
      <c r="I64" s="7"/>
      <c r="J64" s="7"/>
    </row>
    <row r="65" spans="1:10" x14ac:dyDescent="0.25">
      <c r="A65" s="43"/>
      <c r="C65" s="42"/>
      <c r="D65" s="42"/>
      <c r="E65" s="44"/>
      <c r="F65" s="7"/>
      <c r="G65" s="7"/>
      <c r="H65" s="7"/>
      <c r="I65" s="7"/>
      <c r="J65" s="7"/>
    </row>
    <row r="66" spans="1:10" x14ac:dyDescent="0.25">
      <c r="I66" s="7"/>
      <c r="J66" s="7"/>
    </row>
    <row r="67" spans="1:10" x14ac:dyDescent="0.25">
      <c r="I67" s="7"/>
      <c r="J67" s="7"/>
    </row>
    <row r="68" spans="1:10" x14ac:dyDescent="0.25">
      <c r="I68" s="7"/>
      <c r="J68" s="7"/>
    </row>
    <row r="69" spans="1:10" x14ac:dyDescent="0.25">
      <c r="I69" s="7"/>
      <c r="J69" s="7"/>
    </row>
    <row r="70" spans="1:10" x14ac:dyDescent="0.25">
      <c r="I70" s="7"/>
      <c r="J70" s="7"/>
    </row>
    <row r="71" spans="1:10" x14ac:dyDescent="0.25">
      <c r="I71" s="7"/>
      <c r="J71" s="7"/>
    </row>
    <row r="72" spans="1:10" x14ac:dyDescent="0.25">
      <c r="I72" s="7"/>
      <c r="J72" s="7"/>
    </row>
    <row r="73" spans="1:10" x14ac:dyDescent="0.25">
      <c r="I73" s="7"/>
      <c r="J73" s="7"/>
    </row>
    <row r="74" spans="1:10" x14ac:dyDescent="0.25">
      <c r="I74" s="7"/>
      <c r="J74" s="7"/>
    </row>
    <row r="75" spans="1:10" x14ac:dyDescent="0.25">
      <c r="I75" s="7"/>
      <c r="J75" s="7"/>
    </row>
    <row r="76" spans="1:10" x14ac:dyDescent="0.25">
      <c r="I76" s="7"/>
      <c r="J76" s="7"/>
    </row>
    <row r="77" spans="1:10" x14ac:dyDescent="0.25">
      <c r="I77" s="7"/>
      <c r="J77" s="7"/>
    </row>
    <row r="78" spans="1:10" x14ac:dyDescent="0.25">
      <c r="I78" s="7"/>
      <c r="J78" s="7"/>
    </row>
    <row r="79" spans="1:10" x14ac:dyDescent="0.25">
      <c r="I79" s="7"/>
      <c r="J79" s="7"/>
    </row>
    <row r="80" spans="1:10" x14ac:dyDescent="0.25">
      <c r="I80" s="7"/>
      <c r="J80" s="7"/>
    </row>
    <row r="81" spans="1:10" x14ac:dyDescent="0.25">
      <c r="I81" s="7"/>
      <c r="J81" s="7"/>
    </row>
    <row r="82" spans="1:10" x14ac:dyDescent="0.25">
      <c r="I82" s="7"/>
      <c r="J82" s="7"/>
    </row>
    <row r="83" spans="1:10" x14ac:dyDescent="0.25">
      <c r="I83" s="7"/>
      <c r="J83" s="7"/>
    </row>
    <row r="84" spans="1:10" x14ac:dyDescent="0.25">
      <c r="A84" s="7"/>
      <c r="B84" s="42"/>
      <c r="C84" s="7"/>
      <c r="D84" s="7"/>
      <c r="E84" s="7"/>
      <c r="F84" s="7"/>
      <c r="G84" s="7"/>
      <c r="H84" s="7"/>
      <c r="I84" s="7"/>
      <c r="J84" s="7"/>
    </row>
    <row r="85" spans="1:10" x14ac:dyDescent="0.25">
      <c r="A85" s="7"/>
      <c r="B85" s="7"/>
      <c r="C85" s="7"/>
      <c r="D85" s="7"/>
      <c r="E85" s="7"/>
      <c r="F85" s="7"/>
      <c r="G85" s="7"/>
      <c r="H85" s="7"/>
      <c r="I85" s="7"/>
      <c r="J85" s="7"/>
    </row>
    <row r="86" spans="1:10" x14ac:dyDescent="0.25">
      <c r="A86" s="7"/>
      <c r="B86" s="7"/>
      <c r="C86" s="7"/>
      <c r="D86" s="7"/>
      <c r="E86" s="7"/>
      <c r="F86" s="7"/>
      <c r="G86" s="7"/>
      <c r="H86" s="7"/>
      <c r="I86" s="7"/>
      <c r="J86" s="7"/>
    </row>
    <row r="87" spans="1:10" x14ac:dyDescent="0.25">
      <c r="A87" s="7"/>
      <c r="B87" s="7"/>
      <c r="C87" s="7"/>
      <c r="D87" s="7"/>
      <c r="E87" s="7"/>
      <c r="F87" s="7"/>
      <c r="G87" s="7"/>
      <c r="H87" s="7"/>
      <c r="I87" s="7"/>
      <c r="J87" s="7"/>
    </row>
    <row r="88" spans="1:10" x14ac:dyDescent="0.25">
      <c r="A88" s="7"/>
      <c r="B88" s="7"/>
      <c r="C88" s="7"/>
      <c r="D88" s="7"/>
      <c r="E88" s="7"/>
      <c r="F88" s="7"/>
      <c r="G88" s="7"/>
      <c r="H88" s="7"/>
      <c r="I88" s="7"/>
      <c r="J88" s="7"/>
    </row>
    <row r="89" spans="1:10" x14ac:dyDescent="0.25">
      <c r="A89" s="7"/>
      <c r="B89" s="7"/>
      <c r="C89" s="7"/>
      <c r="D89" s="7"/>
      <c r="E89" s="7"/>
      <c r="F89" s="7"/>
      <c r="G89" s="7"/>
      <c r="H89" s="7"/>
      <c r="I89" s="7"/>
      <c r="J89" s="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50384-2734-417B-886E-4047C04D0347}">
  <dimension ref="A1:O41"/>
  <sheetViews>
    <sheetView zoomScale="145" zoomScaleNormal="145" workbookViewId="0"/>
  </sheetViews>
  <sheetFormatPr defaultColWidth="9" defaultRowHeight="12.75" x14ac:dyDescent="0.2"/>
  <cols>
    <col min="1" max="1" width="32.5703125" style="55" customWidth="1"/>
    <col min="2" max="2" width="22.28515625" style="55" customWidth="1"/>
    <col min="3" max="8" width="9" style="55"/>
    <col min="9" max="9" width="17.85546875" style="55" bestFit="1" customWidth="1"/>
    <col min="10" max="10" width="19.28515625" style="55" bestFit="1" customWidth="1"/>
    <col min="11" max="11" width="18.5703125" style="55" customWidth="1"/>
    <col min="12" max="12" width="19.28515625" style="55" customWidth="1"/>
    <col min="13" max="16384" width="9" style="55"/>
  </cols>
  <sheetData>
    <row r="1" spans="1:15" ht="15" x14ac:dyDescent="0.25">
      <c r="A1" s="2" t="s">
        <v>18</v>
      </c>
      <c r="B1" s="3"/>
      <c r="I1" s="114" t="s">
        <v>47</v>
      </c>
      <c r="J1" s="114"/>
      <c r="K1" s="114"/>
      <c r="L1" s="114"/>
      <c r="M1" s="114"/>
    </row>
    <row r="2" spans="1:15" ht="15" x14ac:dyDescent="0.25">
      <c r="A2" s="3"/>
      <c r="B2" s="3"/>
      <c r="I2" s="114"/>
      <c r="J2" s="114"/>
      <c r="K2" s="114"/>
      <c r="L2" s="114"/>
      <c r="M2" s="114"/>
    </row>
    <row r="3" spans="1:15" ht="15" x14ac:dyDescent="0.25">
      <c r="A3" s="4" t="s">
        <v>21</v>
      </c>
      <c r="B3" s="5"/>
      <c r="I3" s="114"/>
      <c r="J3" s="114"/>
      <c r="K3" s="114"/>
      <c r="L3" s="114"/>
      <c r="M3" s="114"/>
    </row>
    <row r="4" spans="1:15" ht="15" x14ac:dyDescent="0.25">
      <c r="A4" s="8" t="s">
        <v>2</v>
      </c>
      <c r="B4" s="82">
        <f>'Dell''s Financial Statements'!E24*0.06</f>
        <v>885.36</v>
      </c>
      <c r="I4" s="114"/>
      <c r="J4" s="114"/>
      <c r="K4" s="114"/>
      <c r="L4" s="114"/>
      <c r="M4" s="114"/>
    </row>
    <row r="5" spans="1:15" ht="15" x14ac:dyDescent="0.25">
      <c r="A5" s="11" t="s">
        <v>20</v>
      </c>
      <c r="B5" s="12">
        <v>5</v>
      </c>
    </row>
    <row r="6" spans="1:15" ht="15" x14ac:dyDescent="0.25">
      <c r="A6" s="11" t="s">
        <v>3</v>
      </c>
      <c r="B6" s="83">
        <f>B4/B5</f>
        <v>177.072</v>
      </c>
    </row>
    <row r="7" spans="1:15" ht="12" customHeight="1" x14ac:dyDescent="0.25">
      <c r="A7" s="3" t="s">
        <v>19</v>
      </c>
      <c r="B7" s="47">
        <f>'Dell''s Financial Statements'!L14</f>
        <v>0.10519321523119905</v>
      </c>
    </row>
    <row r="8" spans="1:15" ht="12" customHeight="1" x14ac:dyDescent="0.25">
      <c r="A8" s="11" t="s">
        <v>28</v>
      </c>
      <c r="B8" s="17">
        <f>'Dell''s Financial Statements'!L28</f>
        <v>1486</v>
      </c>
    </row>
    <row r="9" spans="1:15" ht="12" customHeight="1" x14ac:dyDescent="0.25">
      <c r="A9" s="11" t="s">
        <v>29</v>
      </c>
      <c r="B9" s="53">
        <f>'Dell''s Financial Statements'!L28/'Dell''s Financial Statements'!L4</f>
        <v>1.5549300490755176E-2</v>
      </c>
      <c r="I9" s="56" t="s">
        <v>42</v>
      </c>
      <c r="J9" s="3"/>
      <c r="K9" s="3"/>
      <c r="L9" s="3"/>
      <c r="M9" s="3"/>
      <c r="N9" s="3"/>
      <c r="O9" s="3"/>
    </row>
    <row r="10" spans="1:15" ht="12" customHeight="1" x14ac:dyDescent="0.25">
      <c r="A10" s="11" t="s">
        <v>4</v>
      </c>
      <c r="B10" s="82">
        <f>0.01*C21</f>
        <v>57.340199999999996</v>
      </c>
      <c r="I10" s="60" t="s">
        <v>43</v>
      </c>
      <c r="J10" s="59" t="s">
        <v>44</v>
      </c>
      <c r="K10" s="59" t="s">
        <v>45</v>
      </c>
      <c r="L10" s="59" t="s">
        <v>46</v>
      </c>
      <c r="M10" s="3"/>
      <c r="N10" s="3"/>
      <c r="O10" s="3"/>
    </row>
    <row r="11" spans="1:15" ht="45" x14ac:dyDescent="0.25">
      <c r="A11" s="22" t="s">
        <v>34</v>
      </c>
      <c r="B11" s="12">
        <v>0</v>
      </c>
      <c r="I11" s="61" t="s">
        <v>48</v>
      </c>
      <c r="J11" s="66" t="s">
        <v>52</v>
      </c>
      <c r="K11" s="66" t="s">
        <v>53</v>
      </c>
      <c r="L11" s="66" t="s">
        <v>54</v>
      </c>
      <c r="M11" s="3"/>
      <c r="N11" s="3"/>
      <c r="O11" s="3"/>
    </row>
    <row r="12" spans="1:15" ht="15" x14ac:dyDescent="0.25">
      <c r="A12" s="22" t="s">
        <v>5</v>
      </c>
      <c r="B12" s="51">
        <v>0.21</v>
      </c>
      <c r="I12" s="62" t="s">
        <v>17</v>
      </c>
      <c r="J12" s="87">
        <f>B41</f>
        <v>1167.7190332383605</v>
      </c>
      <c r="K12" s="86">
        <v>-133.25</v>
      </c>
      <c r="L12" s="87">
        <v>1492.96</v>
      </c>
      <c r="M12" s="3"/>
      <c r="N12" s="3"/>
      <c r="O12" s="3"/>
    </row>
    <row r="13" spans="1:15" ht="13.15" customHeight="1" x14ac:dyDescent="0.25">
      <c r="A13" s="22" t="s">
        <v>6</v>
      </c>
      <c r="B13" s="51">
        <v>0.12</v>
      </c>
      <c r="C13" s="51"/>
      <c r="D13" s="51"/>
      <c r="I13" s="57"/>
      <c r="J13" s="57"/>
      <c r="K13" s="57"/>
      <c r="L13" s="57"/>
      <c r="M13" s="57"/>
      <c r="N13" s="57"/>
      <c r="O13" s="57"/>
    </row>
    <row r="14" spans="1:15" ht="13.15" customHeight="1" x14ac:dyDescent="0.25">
      <c r="A14" s="10" t="s">
        <v>353</v>
      </c>
      <c r="B14" s="82">
        <f>0.06*'Dell''s Financial Statements'!L4</f>
        <v>5734.0199999999995</v>
      </c>
      <c r="I14" s="57"/>
      <c r="J14" s="57"/>
      <c r="K14" s="57"/>
      <c r="L14" s="57"/>
      <c r="M14" s="57"/>
      <c r="N14" s="57"/>
      <c r="O14" s="57"/>
    </row>
    <row r="15" spans="1:15" ht="13.15" customHeight="1" x14ac:dyDescent="0.25">
      <c r="A15" s="10" t="s">
        <v>354</v>
      </c>
      <c r="B15" s="82">
        <f>0.02*'Dell''s Financial Statements'!L4</f>
        <v>1911.3400000000001</v>
      </c>
      <c r="I15" s="57"/>
      <c r="J15" s="57"/>
      <c r="K15" s="57"/>
      <c r="L15" s="57"/>
      <c r="M15" s="57"/>
      <c r="N15" s="57"/>
      <c r="O15" s="57"/>
    </row>
    <row r="16" spans="1:15" ht="13.15" customHeight="1" x14ac:dyDescent="0.25">
      <c r="A16" s="10" t="s">
        <v>355</v>
      </c>
      <c r="B16" s="82">
        <f>0.07*'Dell''s Financial Statements'!L4</f>
        <v>6689.6900000000005</v>
      </c>
      <c r="I16" s="57"/>
      <c r="J16" s="57"/>
      <c r="K16" s="57"/>
      <c r="L16" s="57"/>
      <c r="M16" s="57"/>
      <c r="N16" s="57"/>
      <c r="O16" s="57"/>
    </row>
    <row r="17" spans="1:15" ht="27" customHeight="1" x14ac:dyDescent="0.25">
      <c r="A17" s="46" t="s">
        <v>35</v>
      </c>
      <c r="B17" s="23"/>
      <c r="C17" s="50">
        <v>0.06</v>
      </c>
      <c r="D17" s="50">
        <v>0.1</v>
      </c>
      <c r="E17" s="51">
        <v>0.08</v>
      </c>
      <c r="F17" s="50">
        <v>0.03</v>
      </c>
      <c r="G17" s="50">
        <v>0.03</v>
      </c>
      <c r="I17" s="57"/>
      <c r="J17" s="57"/>
      <c r="K17" s="57"/>
      <c r="L17" s="57"/>
      <c r="M17" s="57"/>
      <c r="N17" s="57"/>
      <c r="O17" s="57"/>
    </row>
    <row r="18" spans="1:15" ht="13.15" customHeight="1" x14ac:dyDescent="0.25">
      <c r="A18" s="7"/>
      <c r="B18" s="24" t="s">
        <v>7</v>
      </c>
      <c r="C18" s="24" t="s">
        <v>7</v>
      </c>
      <c r="D18" s="24" t="s">
        <v>7</v>
      </c>
      <c r="E18" s="24" t="s">
        <v>7</v>
      </c>
      <c r="F18" s="24" t="s">
        <v>7</v>
      </c>
      <c r="G18" s="24" t="s">
        <v>7</v>
      </c>
      <c r="I18" s="58"/>
      <c r="J18" s="58"/>
      <c r="K18" s="58"/>
      <c r="L18" s="58"/>
      <c r="M18" s="58"/>
      <c r="N18" s="58"/>
      <c r="O18" s="58"/>
    </row>
    <row r="19" spans="1:15" ht="13.15" customHeight="1" x14ac:dyDescent="0.25">
      <c r="A19" s="7"/>
      <c r="B19" s="24">
        <v>2025</v>
      </c>
      <c r="C19" s="24">
        <f>B19+1</f>
        <v>2026</v>
      </c>
      <c r="D19" s="24">
        <f>C19+1</f>
        <v>2027</v>
      </c>
      <c r="E19" s="24">
        <f>D19+1</f>
        <v>2028</v>
      </c>
      <c r="F19" s="24">
        <f>E19+1</f>
        <v>2029</v>
      </c>
      <c r="G19" s="24">
        <f>F19+1</f>
        <v>2030</v>
      </c>
      <c r="I19" s="58"/>
      <c r="J19" s="58"/>
      <c r="K19" s="58"/>
      <c r="L19" s="58"/>
      <c r="M19" s="58"/>
      <c r="N19" s="58"/>
      <c r="O19" s="58"/>
    </row>
    <row r="20" spans="1:15" ht="13.15" customHeight="1" x14ac:dyDescent="0.25">
      <c r="A20" s="25" t="s">
        <v>8</v>
      </c>
      <c r="B20" s="26">
        <v>0</v>
      </c>
      <c r="C20" s="27">
        <v>1</v>
      </c>
      <c r="D20" s="27">
        <v>2</v>
      </c>
      <c r="E20" s="27">
        <v>3</v>
      </c>
      <c r="F20" s="27">
        <v>4</v>
      </c>
      <c r="G20" s="27">
        <v>5</v>
      </c>
      <c r="I20" s="58"/>
      <c r="J20" s="58"/>
      <c r="K20" s="58"/>
      <c r="L20" s="58"/>
      <c r="M20" s="58"/>
      <c r="N20" s="58"/>
      <c r="O20" s="58"/>
    </row>
    <row r="21" spans="1:15" ht="13.15" customHeight="1" x14ac:dyDescent="0.25">
      <c r="A21" s="8" t="s">
        <v>32</v>
      </c>
      <c r="B21" s="28"/>
      <c r="C21" s="84">
        <f>B14</f>
        <v>5734.0199999999995</v>
      </c>
      <c r="D21" s="84">
        <f>C21*(1+D17)</f>
        <v>6307.4219999999996</v>
      </c>
      <c r="E21" s="84">
        <f t="shared" ref="E21:G21" si="0">D21*(1+E17)</f>
        <v>6812.0157600000002</v>
      </c>
      <c r="F21" s="84">
        <f t="shared" si="0"/>
        <v>7016.3762328000003</v>
      </c>
      <c r="G21" s="84">
        <f t="shared" si="0"/>
        <v>7226.8675197840003</v>
      </c>
      <c r="I21" s="58"/>
      <c r="J21" s="58"/>
      <c r="K21" s="58"/>
      <c r="L21" s="58"/>
      <c r="M21" s="58"/>
      <c r="N21" s="58"/>
      <c r="O21" s="58"/>
    </row>
    <row r="22" spans="1:15" ht="13.15" customHeight="1" x14ac:dyDescent="0.25">
      <c r="A22" s="10" t="s">
        <v>25</v>
      </c>
      <c r="B22" s="30"/>
      <c r="C22" s="85">
        <f>$B$7*C21</f>
        <v>603.17999999999995</v>
      </c>
      <c r="D22" s="85">
        <f t="shared" ref="D22:G22" si="1">$B$7*D21</f>
        <v>663.49799999999993</v>
      </c>
      <c r="E22" s="85">
        <f t="shared" si="1"/>
        <v>716.57784000000004</v>
      </c>
      <c r="F22" s="85">
        <f t="shared" si="1"/>
        <v>738.07517519999999</v>
      </c>
      <c r="G22" s="85">
        <f t="shared" si="1"/>
        <v>760.21743045599999</v>
      </c>
      <c r="I22" s="58"/>
      <c r="J22" s="58"/>
      <c r="K22" s="58"/>
      <c r="L22" s="58"/>
      <c r="M22" s="58"/>
      <c r="N22" s="58"/>
      <c r="O22" s="58"/>
    </row>
    <row r="23" spans="1:15" ht="15" x14ac:dyDescent="0.25">
      <c r="A23" s="10" t="s">
        <v>26</v>
      </c>
      <c r="B23" s="30"/>
      <c r="C23" s="85">
        <f>$B$6</f>
        <v>177.072</v>
      </c>
      <c r="D23" s="85">
        <f t="shared" ref="D23:G23" si="2">$B$6</f>
        <v>177.072</v>
      </c>
      <c r="E23" s="85">
        <f t="shared" si="2"/>
        <v>177.072</v>
      </c>
      <c r="F23" s="85">
        <f t="shared" si="2"/>
        <v>177.072</v>
      </c>
      <c r="G23" s="85">
        <f t="shared" si="2"/>
        <v>177.072</v>
      </c>
    </row>
    <row r="24" spans="1:15" ht="15" x14ac:dyDescent="0.25">
      <c r="A24" s="10" t="s">
        <v>27</v>
      </c>
      <c r="B24" s="30"/>
      <c r="C24" s="85">
        <f>(C22-C23)*$B$12</f>
        <v>89.482679999999988</v>
      </c>
      <c r="D24" s="85">
        <f t="shared" ref="D24:G24" si="3">(D22-D23)*$B$12</f>
        <v>102.14945999999998</v>
      </c>
      <c r="E24" s="85">
        <f t="shared" si="3"/>
        <v>113.29622640000001</v>
      </c>
      <c r="F24" s="85">
        <f t="shared" si="3"/>
        <v>117.81066679199999</v>
      </c>
      <c r="G24" s="85">
        <f t="shared" si="3"/>
        <v>122.46054039575999</v>
      </c>
    </row>
    <row r="25" spans="1:15" ht="15" x14ac:dyDescent="0.25">
      <c r="A25" s="6" t="s">
        <v>9</v>
      </c>
      <c r="B25" s="30"/>
      <c r="C25" s="85">
        <f>(C22-C23)*(1-$B$12)</f>
        <v>336.62531999999999</v>
      </c>
      <c r="D25" s="85">
        <f t="shared" ref="D25:G25" si="4">(D22-D23)*(1-$B$12)</f>
        <v>384.27653999999995</v>
      </c>
      <c r="E25" s="85">
        <f t="shared" si="4"/>
        <v>426.20961360000007</v>
      </c>
      <c r="F25" s="85">
        <f t="shared" si="4"/>
        <v>443.19250840800004</v>
      </c>
      <c r="G25" s="85">
        <f t="shared" si="4"/>
        <v>460.68489006024004</v>
      </c>
    </row>
    <row r="26" spans="1:15" ht="15" x14ac:dyDescent="0.25">
      <c r="A26" s="10"/>
      <c r="B26" s="31"/>
      <c r="C26" s="31"/>
      <c r="D26" s="31"/>
      <c r="E26" s="31"/>
      <c r="F26" s="31"/>
      <c r="G26" s="31"/>
    </row>
    <row r="27" spans="1:15" ht="15" x14ac:dyDescent="0.25">
      <c r="A27" s="33" t="s">
        <v>10</v>
      </c>
      <c r="B27" s="31"/>
      <c r="C27" s="31"/>
      <c r="D27" s="31"/>
      <c r="E27" s="31"/>
      <c r="F27" s="31"/>
      <c r="G27" s="31"/>
    </row>
    <row r="28" spans="1:15" ht="15" x14ac:dyDescent="0.25">
      <c r="A28" s="6" t="s">
        <v>11</v>
      </c>
      <c r="B28" s="85">
        <f>B10</f>
        <v>57.340199999999996</v>
      </c>
      <c r="C28" s="85">
        <f>('Dell''s Financial Statements'!$L$28/'Dell''s Financial Statements'!$L$4)*'Template - Dell'!C19</f>
        <v>89.159999999999982</v>
      </c>
      <c r="D28" s="85">
        <f>('Dell''s Financial Statements'!$L$28/'Dell''s Financial Statements'!$L$4)*'Template - Dell'!D19</f>
        <v>98.075999999999993</v>
      </c>
      <c r="E28" s="85">
        <f>('Dell''s Financial Statements'!$L$28/'Dell''s Financial Statements'!$L$4)*'Template - Dell'!E19</f>
        <v>105.92207999999999</v>
      </c>
      <c r="F28" s="85">
        <f>('Dell''s Financial Statements'!$L$28/'Dell''s Financial Statements'!$L$4)*'Template - Dell'!F19</f>
        <v>109.0997424</v>
      </c>
      <c r="G28" s="85">
        <v>0</v>
      </c>
    </row>
    <row r="29" spans="1:15" ht="15" x14ac:dyDescent="0.25">
      <c r="A29" s="6" t="s">
        <v>12</v>
      </c>
      <c r="B29" s="31"/>
      <c r="C29" s="85">
        <f>C28-B28</f>
        <v>31.819799999999987</v>
      </c>
      <c r="D29" s="85">
        <f t="shared" ref="D29:F29" si="5">D28-C28</f>
        <v>8.916000000000011</v>
      </c>
      <c r="E29" s="85">
        <f t="shared" si="5"/>
        <v>7.8460800000000006</v>
      </c>
      <c r="F29" s="85">
        <f t="shared" si="5"/>
        <v>3.1776624000000027</v>
      </c>
      <c r="G29" s="85">
        <f>G28-F28</f>
        <v>-109.0997424</v>
      </c>
    </row>
    <row r="30" spans="1:15" ht="15" x14ac:dyDescent="0.25">
      <c r="A30" s="6" t="s">
        <v>13</v>
      </c>
      <c r="B30" s="31"/>
      <c r="C30" s="85">
        <f>-C29</f>
        <v>-31.819799999999987</v>
      </c>
      <c r="D30" s="85">
        <f t="shared" ref="D30:G30" si="6">-D29</f>
        <v>-8.916000000000011</v>
      </c>
      <c r="E30" s="85">
        <f t="shared" si="6"/>
        <v>-7.8460800000000006</v>
      </c>
      <c r="F30" s="85">
        <f t="shared" si="6"/>
        <v>-3.1776624000000027</v>
      </c>
      <c r="G30" s="85">
        <f t="shared" si="6"/>
        <v>109.0997424</v>
      </c>
    </row>
    <row r="31" spans="1:15" ht="15" x14ac:dyDescent="0.25">
      <c r="A31" s="7"/>
      <c r="B31" s="32"/>
      <c r="C31" s="32"/>
      <c r="D31" s="32"/>
      <c r="E31" s="32"/>
      <c r="F31" s="32"/>
      <c r="G31" s="32"/>
    </row>
    <row r="32" spans="1:15" ht="15" x14ac:dyDescent="0.25">
      <c r="A32" s="34" t="s">
        <v>37</v>
      </c>
      <c r="B32" s="31"/>
      <c r="C32" s="31"/>
      <c r="D32" s="31"/>
      <c r="E32" s="31"/>
      <c r="F32" s="31"/>
      <c r="G32" s="31"/>
    </row>
    <row r="33" spans="1:7" ht="15" x14ac:dyDescent="0.25">
      <c r="A33" s="6" t="s">
        <v>9</v>
      </c>
      <c r="B33" s="54"/>
      <c r="C33" s="85">
        <f>C25</f>
        <v>336.62531999999999</v>
      </c>
      <c r="D33" s="85">
        <f t="shared" ref="D33:G33" si="7">D25</f>
        <v>384.27653999999995</v>
      </c>
      <c r="E33" s="85">
        <f t="shared" si="7"/>
        <v>426.20961360000007</v>
      </c>
      <c r="F33" s="85">
        <f t="shared" si="7"/>
        <v>443.19250840800004</v>
      </c>
      <c r="G33" s="85">
        <f t="shared" si="7"/>
        <v>460.68489006024004</v>
      </c>
    </row>
    <row r="34" spans="1:7" ht="15" x14ac:dyDescent="0.25">
      <c r="A34" s="6" t="s">
        <v>41</v>
      </c>
      <c r="B34" s="31"/>
      <c r="C34" s="85">
        <f>C23</f>
        <v>177.072</v>
      </c>
      <c r="D34" s="85">
        <f t="shared" ref="D34:G34" si="8">D23</f>
        <v>177.072</v>
      </c>
      <c r="E34" s="85">
        <f t="shared" si="8"/>
        <v>177.072</v>
      </c>
      <c r="F34" s="85">
        <f t="shared" si="8"/>
        <v>177.072</v>
      </c>
      <c r="G34" s="85">
        <f t="shared" si="8"/>
        <v>177.072</v>
      </c>
    </row>
    <row r="35" spans="1:7" ht="15" x14ac:dyDescent="0.25">
      <c r="A35" s="6" t="s">
        <v>39</v>
      </c>
      <c r="B35" s="31"/>
      <c r="C35" s="85">
        <f>C29</f>
        <v>31.819799999999987</v>
      </c>
      <c r="D35" s="85">
        <f t="shared" ref="D35:G35" si="9">D29</f>
        <v>8.916000000000011</v>
      </c>
      <c r="E35" s="85">
        <f t="shared" si="9"/>
        <v>7.8460800000000006</v>
      </c>
      <c r="F35" s="85">
        <f t="shared" si="9"/>
        <v>3.1776624000000027</v>
      </c>
      <c r="G35" s="85">
        <f t="shared" si="9"/>
        <v>-109.0997424</v>
      </c>
    </row>
    <row r="36" spans="1:7" ht="15" x14ac:dyDescent="0.25">
      <c r="A36" s="6" t="s">
        <v>40</v>
      </c>
      <c r="B36" s="85">
        <f>B4</f>
        <v>885.36</v>
      </c>
      <c r="C36" s="31">
        <v>0</v>
      </c>
      <c r="D36" s="31">
        <v>0</v>
      </c>
      <c r="E36" s="31">
        <v>0</v>
      </c>
      <c r="F36" s="31">
        <v>0</v>
      </c>
      <c r="G36" s="31">
        <v>0</v>
      </c>
    </row>
    <row r="37" spans="1:7" ht="15" x14ac:dyDescent="0.25">
      <c r="A37" s="35" t="s">
        <v>14</v>
      </c>
      <c r="B37" s="85">
        <f>-(B36+B28)</f>
        <v>-942.7002</v>
      </c>
      <c r="C37" s="85">
        <f>C33+C34-C36-C35</f>
        <v>481.87752</v>
      </c>
      <c r="D37" s="85">
        <f t="shared" ref="D37:G37" si="10">D33+D34-D36-D35</f>
        <v>552.4325399999999</v>
      </c>
      <c r="E37" s="85">
        <f t="shared" si="10"/>
        <v>595.4355336000001</v>
      </c>
      <c r="F37" s="85">
        <f t="shared" si="10"/>
        <v>617.08684600799995</v>
      </c>
      <c r="G37" s="85">
        <f t="shared" si="10"/>
        <v>746.85663246024001</v>
      </c>
    </row>
    <row r="38" spans="1:7" ht="15" x14ac:dyDescent="0.25">
      <c r="A38" s="6"/>
      <c r="B38" s="31"/>
      <c r="C38" s="31"/>
      <c r="D38" s="31"/>
      <c r="E38" s="31"/>
      <c r="F38" s="31"/>
      <c r="G38" s="31"/>
    </row>
    <row r="39" spans="1:7" ht="15" x14ac:dyDescent="0.25">
      <c r="A39" s="6" t="s">
        <v>15</v>
      </c>
      <c r="B39" s="36"/>
      <c r="C39" s="36"/>
      <c r="D39" s="36"/>
      <c r="E39" s="36"/>
      <c r="F39" s="36"/>
      <c r="G39" s="36"/>
    </row>
    <row r="40" spans="1:7" ht="15" x14ac:dyDescent="0.25">
      <c r="A40" s="6" t="s">
        <v>16</v>
      </c>
      <c r="B40" s="31"/>
      <c r="C40" s="31"/>
      <c r="D40" s="31"/>
      <c r="E40" s="31"/>
      <c r="F40" s="31"/>
      <c r="G40" s="31"/>
    </row>
    <row r="41" spans="1:7" ht="15" x14ac:dyDescent="0.25">
      <c r="A41" s="37" t="s">
        <v>17</v>
      </c>
      <c r="B41" s="86">
        <f>B37+NPV(B13,C37,D37,E37,F37,G37)</f>
        <v>1167.7190332383605</v>
      </c>
      <c r="C41" s="32"/>
      <c r="D41" s="32"/>
      <c r="E41" s="32"/>
      <c r="F41" s="32"/>
      <c r="G41" s="32"/>
    </row>
  </sheetData>
  <mergeCells count="1">
    <mergeCell ref="I1:M4"/>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C9E4-875A-47EA-8B78-50F8EFF845C9}">
  <dimension ref="A1:X337"/>
  <sheetViews>
    <sheetView topLeftCell="B1" workbookViewId="0">
      <selection activeCell="B1" sqref="B1"/>
    </sheetView>
  </sheetViews>
  <sheetFormatPr defaultRowHeight="12.75" x14ac:dyDescent="0.2"/>
  <cols>
    <col min="1" max="1" width="44" customWidth="1"/>
    <col min="2" max="2" width="17.7109375" customWidth="1"/>
    <col min="3" max="3" width="16.7109375" customWidth="1"/>
    <col min="4" max="4" width="16.42578125" customWidth="1"/>
    <col min="5" max="5" width="21" customWidth="1"/>
    <col min="6" max="6" width="18.85546875" customWidth="1"/>
    <col min="7" max="7" width="21.5703125" customWidth="1"/>
    <col min="8" max="8" width="15.85546875" customWidth="1"/>
    <col min="10" max="10" width="14.7109375" customWidth="1"/>
    <col min="11" max="11" width="16.28515625" customWidth="1"/>
    <col min="12" max="12" width="15.28515625" customWidth="1"/>
    <col min="13" max="13" width="16.7109375" customWidth="1"/>
    <col min="14" max="14" width="15.85546875" customWidth="1"/>
    <col min="15" max="15" width="15.7109375" customWidth="1"/>
    <col min="16" max="16" width="15.5703125" customWidth="1"/>
    <col min="17" max="17" width="14.7109375" customWidth="1"/>
    <col min="20" max="20" width="19.28515625" customWidth="1"/>
    <col min="21" max="21" width="17.85546875" customWidth="1"/>
  </cols>
  <sheetData>
    <row r="1" spans="1:21" x14ac:dyDescent="0.2">
      <c r="A1" s="88" t="s">
        <v>356</v>
      </c>
    </row>
    <row r="2" spans="1:21" x14ac:dyDescent="0.2">
      <c r="A2" s="88" t="s">
        <v>363</v>
      </c>
      <c r="J2" s="71"/>
      <c r="K2" s="116" t="s">
        <v>361</v>
      </c>
      <c r="L2" s="116"/>
      <c r="M2" s="116"/>
      <c r="N2" s="116"/>
      <c r="O2" s="116"/>
      <c r="P2" s="116"/>
      <c r="Q2" s="116"/>
      <c r="R2" s="99"/>
      <c r="S2" s="102" t="s">
        <v>7</v>
      </c>
      <c r="T2" s="102" t="s">
        <v>361</v>
      </c>
      <c r="U2" s="102" t="s">
        <v>362</v>
      </c>
    </row>
    <row r="3" spans="1:21" x14ac:dyDescent="0.2">
      <c r="A3" s="88"/>
      <c r="B3" s="88">
        <v>2018</v>
      </c>
      <c r="C3" s="88">
        <v>2019</v>
      </c>
      <c r="D3" s="88">
        <v>2020</v>
      </c>
      <c r="E3" s="88">
        <v>2021</v>
      </c>
      <c r="F3" s="88">
        <v>2022</v>
      </c>
      <c r="G3" s="88">
        <v>2023</v>
      </c>
      <c r="H3" s="88">
        <v>2024</v>
      </c>
      <c r="J3" s="1"/>
      <c r="K3" s="88">
        <v>2018</v>
      </c>
      <c r="L3" s="88">
        <v>2019</v>
      </c>
      <c r="M3" s="88">
        <v>2020</v>
      </c>
      <c r="N3" s="88">
        <v>2021</v>
      </c>
      <c r="O3" s="88">
        <v>2022</v>
      </c>
      <c r="P3" s="88">
        <v>2023</v>
      </c>
      <c r="Q3" s="88">
        <v>2024</v>
      </c>
      <c r="S3" s="100">
        <v>2018</v>
      </c>
      <c r="T3" s="104">
        <f>K4</f>
        <v>11632000000</v>
      </c>
    </row>
    <row r="4" spans="1:21" x14ac:dyDescent="0.2">
      <c r="A4" s="88"/>
      <c r="J4" s="65"/>
      <c r="K4" s="107">
        <v>11632000000</v>
      </c>
      <c r="L4" s="107">
        <v>13925000000</v>
      </c>
      <c r="M4" s="107">
        <v>15441000000</v>
      </c>
      <c r="N4" s="107">
        <v>20622000000</v>
      </c>
      <c r="O4" s="107">
        <v>23886000000</v>
      </c>
      <c r="P4" s="107">
        <v>28107000000</v>
      </c>
      <c r="Q4" s="107">
        <v>44477000000</v>
      </c>
      <c r="S4" s="100">
        <v>2019</v>
      </c>
      <c r="T4" s="104">
        <f>L4</f>
        <v>13925000000</v>
      </c>
    </row>
    <row r="5" spans="1:21" x14ac:dyDescent="0.2">
      <c r="A5" s="89" t="s">
        <v>1</v>
      </c>
      <c r="P5" s="101"/>
      <c r="Q5" s="77"/>
      <c r="S5" s="103">
        <v>2020</v>
      </c>
      <c r="T5" s="104">
        <f>M4</f>
        <v>15441000000</v>
      </c>
      <c r="U5">
        <f>(T5+T4+T3)/3</f>
        <v>13666000000</v>
      </c>
    </row>
    <row r="6" spans="1:21" x14ac:dyDescent="0.2">
      <c r="A6" s="88" t="s">
        <v>58</v>
      </c>
      <c r="P6" s="101"/>
      <c r="Q6" s="77"/>
      <c r="S6" s="103">
        <v>2021</v>
      </c>
      <c r="T6" s="104">
        <f>N4</f>
        <v>20622000000</v>
      </c>
      <c r="U6">
        <f t="shared" ref="U6:U9" si="0">(T6+T5+T4)/3</f>
        <v>16662666666.666666</v>
      </c>
    </row>
    <row r="7" spans="1:21" x14ac:dyDescent="0.2">
      <c r="A7" s="90" t="s">
        <v>59</v>
      </c>
      <c r="B7" s="91">
        <v>133768</v>
      </c>
      <c r="C7" s="91">
        <v>133819</v>
      </c>
      <c r="D7" s="91">
        <v>136527</v>
      </c>
      <c r="E7" s="91">
        <v>130334</v>
      </c>
      <c r="F7" s="91">
        <v>104757</v>
      </c>
      <c r="G7" s="91">
        <v>111262</v>
      </c>
      <c r="H7" s="91">
        <v>75543</v>
      </c>
      <c r="P7" s="101"/>
      <c r="Q7" s="77"/>
      <c r="S7" s="103">
        <v>2022</v>
      </c>
      <c r="T7" s="104">
        <f>O4</f>
        <v>23886000000</v>
      </c>
      <c r="U7">
        <f t="shared" si="0"/>
        <v>19983000000</v>
      </c>
    </row>
    <row r="8" spans="1:21" x14ac:dyDescent="0.2">
      <c r="A8" s="90" t="s">
        <v>60</v>
      </c>
      <c r="B8" s="91">
        <v>11946</v>
      </c>
      <c r="C8" s="91">
        <v>11356</v>
      </c>
      <c r="D8" s="91">
        <v>13576</v>
      </c>
      <c r="E8" s="91">
        <v>14224</v>
      </c>
      <c r="F8" s="91">
        <v>13931</v>
      </c>
      <c r="G8" s="91">
        <v>34704</v>
      </c>
      <c r="H8" s="91">
        <v>18315</v>
      </c>
      <c r="S8" s="103">
        <v>2023</v>
      </c>
      <c r="T8" s="104">
        <f>P4</f>
        <v>28107000000</v>
      </c>
      <c r="U8">
        <f t="shared" si="0"/>
        <v>24205000000</v>
      </c>
    </row>
    <row r="9" spans="1:21" x14ac:dyDescent="0.2">
      <c r="A9" s="90" t="s">
        <v>61</v>
      </c>
      <c r="B9" s="91">
        <v>121822</v>
      </c>
      <c r="C9" s="91">
        <v>122463</v>
      </c>
      <c r="D9" s="91">
        <v>122951</v>
      </c>
      <c r="E9" s="91">
        <v>116110</v>
      </c>
      <c r="F9" s="91">
        <v>90826</v>
      </c>
      <c r="G9" s="91">
        <v>76558</v>
      </c>
      <c r="H9" s="91">
        <v>57228</v>
      </c>
      <c r="S9" s="103">
        <v>2024</v>
      </c>
      <c r="T9" s="104">
        <f>Q4</f>
        <v>44477000000</v>
      </c>
      <c r="U9">
        <f t="shared" si="0"/>
        <v>32156666666.666668</v>
      </c>
    </row>
    <row r="10" spans="1:21" x14ac:dyDescent="0.2">
      <c r="A10" s="90" t="s">
        <v>62</v>
      </c>
      <c r="B10" s="91">
        <v>26481</v>
      </c>
      <c r="C10" s="91">
        <v>29524</v>
      </c>
      <c r="D10" s="91">
        <v>32011</v>
      </c>
      <c r="E10" s="91">
        <v>38043</v>
      </c>
      <c r="F10" s="91">
        <v>50361</v>
      </c>
      <c r="G10" s="91">
        <v>57888</v>
      </c>
      <c r="H10" s="91">
        <v>67424</v>
      </c>
    </row>
    <row r="11" spans="1:21" x14ac:dyDescent="0.2">
      <c r="A11" s="90" t="s">
        <v>63</v>
      </c>
      <c r="B11" s="91">
        <v>26481</v>
      </c>
      <c r="C11" s="91">
        <v>29524</v>
      </c>
      <c r="D11" s="91">
        <v>32011</v>
      </c>
      <c r="E11" s="91">
        <v>38043</v>
      </c>
      <c r="F11" s="91">
        <v>44261</v>
      </c>
      <c r="G11" s="91">
        <v>48688</v>
      </c>
      <c r="H11" s="91">
        <v>56924</v>
      </c>
    </row>
    <row r="12" spans="1:21" x14ac:dyDescent="0.2">
      <c r="A12" s="90" t="s">
        <v>64</v>
      </c>
      <c r="B12" s="91">
        <v>0</v>
      </c>
      <c r="C12" s="91">
        <v>0</v>
      </c>
      <c r="D12" s="91">
        <v>0</v>
      </c>
      <c r="E12" s="91">
        <v>0</v>
      </c>
      <c r="F12" s="91">
        <v>0</v>
      </c>
      <c r="G12" s="91">
        <v>0</v>
      </c>
      <c r="H12" s="91">
        <v>0</v>
      </c>
    </row>
    <row r="13" spans="1:21" x14ac:dyDescent="0.2">
      <c r="A13" s="90" t="s">
        <v>65</v>
      </c>
      <c r="B13" s="91">
        <v>0</v>
      </c>
      <c r="C13" s="91">
        <v>0</v>
      </c>
      <c r="D13" s="91">
        <v>0</v>
      </c>
      <c r="E13" s="91">
        <v>0</v>
      </c>
      <c r="F13" s="91">
        <v>6100</v>
      </c>
      <c r="G13" s="91">
        <v>9200</v>
      </c>
      <c r="H13" s="91">
        <v>10500</v>
      </c>
    </row>
    <row r="14" spans="1:21" x14ac:dyDescent="0.2">
      <c r="A14" s="90" t="s">
        <v>66</v>
      </c>
      <c r="B14" s="91">
        <v>2662</v>
      </c>
      <c r="C14" s="91">
        <v>2063</v>
      </c>
      <c r="D14" s="91">
        <v>1895</v>
      </c>
      <c r="E14" s="91">
        <v>2636</v>
      </c>
      <c r="F14" s="91">
        <v>3742</v>
      </c>
      <c r="G14" s="91">
        <v>2500</v>
      </c>
      <c r="H14" s="91">
        <v>1246</v>
      </c>
    </row>
    <row r="15" spans="1:21" x14ac:dyDescent="0.2">
      <c r="A15" s="90" t="s">
        <v>67</v>
      </c>
      <c r="B15" s="91">
        <v>655</v>
      </c>
      <c r="C15" s="91">
        <v>399</v>
      </c>
      <c r="D15" s="91">
        <v>700</v>
      </c>
      <c r="E15" s="91">
        <v>1190</v>
      </c>
      <c r="F15" s="91">
        <v>1144</v>
      </c>
      <c r="G15" s="91">
        <v>709</v>
      </c>
      <c r="H15" s="91">
        <v>394</v>
      </c>
    </row>
    <row r="16" spans="1:21" x14ac:dyDescent="0.2">
      <c r="A16" s="90" t="s">
        <v>68</v>
      </c>
      <c r="B16" s="91">
        <v>54</v>
      </c>
      <c r="C16" s="91">
        <v>53</v>
      </c>
      <c r="D16" s="91">
        <v>83</v>
      </c>
      <c r="E16" s="91">
        <v>79</v>
      </c>
      <c r="F16" s="91">
        <v>82</v>
      </c>
      <c r="G16" s="91">
        <v>23</v>
      </c>
      <c r="H16" s="91">
        <v>7</v>
      </c>
    </row>
    <row r="17" spans="1:21" x14ac:dyDescent="0.2">
      <c r="A17" s="90" t="s">
        <v>69</v>
      </c>
      <c r="B17" s="91">
        <v>1953</v>
      </c>
      <c r="C17" s="91">
        <v>1611</v>
      </c>
      <c r="D17" s="91">
        <v>1112</v>
      </c>
      <c r="E17" s="91">
        <v>1367</v>
      </c>
      <c r="F17" s="91">
        <v>2516</v>
      </c>
      <c r="G17" s="91">
        <v>1768</v>
      </c>
      <c r="H17" s="91">
        <v>845</v>
      </c>
      <c r="S17" s="102" t="s">
        <v>7</v>
      </c>
      <c r="T17" s="102" t="s">
        <v>361</v>
      </c>
      <c r="U17" s="102" t="s">
        <v>362</v>
      </c>
    </row>
    <row r="18" spans="1:21" x14ac:dyDescent="0.2">
      <c r="A18" s="90" t="s">
        <v>70</v>
      </c>
      <c r="B18" s="91">
        <v>0</v>
      </c>
      <c r="C18" s="91">
        <v>0</v>
      </c>
      <c r="D18" s="91">
        <v>0</v>
      </c>
      <c r="E18" s="91">
        <v>0</v>
      </c>
      <c r="F18" s="91">
        <v>0</v>
      </c>
      <c r="G18" s="91">
        <v>0</v>
      </c>
      <c r="H18" s="91">
        <v>0</v>
      </c>
      <c r="S18" s="103">
        <v>2020</v>
      </c>
      <c r="T18" s="104">
        <f>T5</f>
        <v>15441000000</v>
      </c>
      <c r="U18">
        <f>U5</f>
        <v>13666000000</v>
      </c>
    </row>
    <row r="19" spans="1:21" x14ac:dyDescent="0.2">
      <c r="A19" s="90" t="s">
        <v>71</v>
      </c>
      <c r="B19" s="91">
        <v>6751</v>
      </c>
      <c r="C19" s="91">
        <v>10146</v>
      </c>
      <c r="D19" s="91">
        <v>11482</v>
      </c>
      <c r="E19" s="91">
        <v>13393</v>
      </c>
      <c r="F19" s="91">
        <v>10824</v>
      </c>
      <c r="G19" s="91">
        <v>12607</v>
      </c>
      <c r="H19" s="91">
        <v>15521</v>
      </c>
      <c r="S19" s="103">
        <v>2021</v>
      </c>
      <c r="T19" s="104">
        <f t="shared" ref="T19:U22" si="1">T6</f>
        <v>20622000000</v>
      </c>
      <c r="U19">
        <f t="shared" si="1"/>
        <v>16662666666.666666</v>
      </c>
    </row>
    <row r="20" spans="1:21" x14ac:dyDescent="0.2">
      <c r="A20" s="90" t="s">
        <v>72</v>
      </c>
      <c r="B20" s="91">
        <v>0</v>
      </c>
      <c r="C20" s="91">
        <v>0</v>
      </c>
      <c r="D20" s="91">
        <v>0</v>
      </c>
      <c r="E20" s="91">
        <v>0</v>
      </c>
      <c r="F20" s="91">
        <v>0</v>
      </c>
      <c r="G20" s="91">
        <v>0</v>
      </c>
      <c r="H20" s="91">
        <v>0</v>
      </c>
      <c r="S20" s="103">
        <v>2022</v>
      </c>
      <c r="T20" s="104">
        <f t="shared" si="1"/>
        <v>23886000000</v>
      </c>
      <c r="U20">
        <f t="shared" si="1"/>
        <v>19983000000</v>
      </c>
    </row>
    <row r="21" spans="1:21" x14ac:dyDescent="0.2">
      <c r="A21" s="90" t="s">
        <v>73</v>
      </c>
      <c r="B21" s="91">
        <v>6751</v>
      </c>
      <c r="C21" s="91">
        <v>10146</v>
      </c>
      <c r="D21" s="91">
        <v>11482</v>
      </c>
      <c r="E21" s="91">
        <v>13393</v>
      </c>
      <c r="F21" s="91">
        <v>10824</v>
      </c>
      <c r="G21" s="91">
        <v>12607</v>
      </c>
      <c r="H21" s="91">
        <v>15521</v>
      </c>
      <c r="S21" s="103">
        <v>2023</v>
      </c>
      <c r="T21" s="104">
        <f t="shared" si="1"/>
        <v>28107000000</v>
      </c>
      <c r="U21">
        <f t="shared" si="1"/>
        <v>24205000000</v>
      </c>
    </row>
    <row r="22" spans="1:21" x14ac:dyDescent="0.2">
      <c r="A22" s="90" t="s">
        <v>74</v>
      </c>
      <c r="B22" s="91">
        <v>169662</v>
      </c>
      <c r="C22" s="91">
        <v>175552</v>
      </c>
      <c r="D22" s="91">
        <v>181915</v>
      </c>
      <c r="E22" s="91">
        <v>184406</v>
      </c>
      <c r="F22" s="91">
        <v>169684</v>
      </c>
      <c r="G22" s="91">
        <v>184257</v>
      </c>
      <c r="H22" s="91">
        <v>159734</v>
      </c>
      <c r="S22" s="103">
        <v>2024</v>
      </c>
      <c r="T22" s="104">
        <f t="shared" si="1"/>
        <v>44477000000</v>
      </c>
      <c r="U22">
        <f t="shared" si="1"/>
        <v>32156666666.666668</v>
      </c>
    </row>
    <row r="23" spans="1:21" x14ac:dyDescent="0.2">
      <c r="A23" s="90" t="s">
        <v>75</v>
      </c>
      <c r="B23" s="91">
        <v>36146</v>
      </c>
      <c r="C23" s="91">
        <v>43856</v>
      </c>
      <c r="D23" s="91">
        <v>52904</v>
      </c>
      <c r="E23" s="91">
        <v>70803</v>
      </c>
      <c r="F23" s="91">
        <v>87546</v>
      </c>
      <c r="G23" s="91">
        <v>109987</v>
      </c>
      <c r="H23" s="91">
        <v>154552</v>
      </c>
    </row>
    <row r="24" spans="1:21" x14ac:dyDescent="0.2">
      <c r="A24" s="90" t="s">
        <v>76</v>
      </c>
      <c r="B24" s="91">
        <v>65369</v>
      </c>
      <c r="C24" s="91">
        <v>79186</v>
      </c>
      <c r="D24" s="91">
        <v>96101</v>
      </c>
      <c r="E24" s="91">
        <v>122154</v>
      </c>
      <c r="F24" s="91">
        <v>147206</v>
      </c>
      <c r="G24" s="91">
        <v>178238</v>
      </c>
      <c r="H24" s="91">
        <v>230973</v>
      </c>
    </row>
    <row r="25" spans="1:21" x14ac:dyDescent="0.2">
      <c r="A25" s="90" t="s">
        <v>77</v>
      </c>
      <c r="B25" s="91">
        <v>29223</v>
      </c>
      <c r="C25" s="91">
        <v>35330</v>
      </c>
      <c r="D25" s="91">
        <v>43197</v>
      </c>
      <c r="E25" s="91">
        <v>51351</v>
      </c>
      <c r="F25" s="91">
        <v>59660</v>
      </c>
      <c r="G25" s="91">
        <v>68251</v>
      </c>
      <c r="H25" s="91">
        <v>76421</v>
      </c>
    </row>
    <row r="26" spans="1:21" x14ac:dyDescent="0.2">
      <c r="A26" s="90" t="s">
        <v>78</v>
      </c>
      <c r="B26" s="90" t="s">
        <v>83</v>
      </c>
      <c r="C26" s="90" t="s">
        <v>83</v>
      </c>
      <c r="D26" s="90" t="s">
        <v>83</v>
      </c>
      <c r="E26" s="90" t="s">
        <v>83</v>
      </c>
      <c r="F26" s="90" t="s">
        <v>83</v>
      </c>
      <c r="G26" s="90" t="s">
        <v>83</v>
      </c>
      <c r="H26" s="91">
        <v>6000</v>
      </c>
    </row>
    <row r="27" spans="1:21" x14ac:dyDescent="0.2">
      <c r="A27" s="90" t="s">
        <v>79</v>
      </c>
      <c r="B27" s="91">
        <v>3662</v>
      </c>
      <c r="C27" s="91">
        <v>4849</v>
      </c>
      <c r="D27" s="91">
        <v>5665</v>
      </c>
      <c r="E27" s="91">
        <v>9384</v>
      </c>
      <c r="F27" s="91">
        <v>10691</v>
      </c>
      <c r="G27" s="91">
        <v>14379</v>
      </c>
      <c r="H27" s="91">
        <v>13500</v>
      </c>
    </row>
    <row r="28" spans="1:21" x14ac:dyDescent="0.2">
      <c r="A28" s="90" t="s">
        <v>80</v>
      </c>
      <c r="B28" s="91">
        <v>43736</v>
      </c>
      <c r="C28" s="91">
        <v>49776</v>
      </c>
      <c r="D28" s="91">
        <v>50389</v>
      </c>
      <c r="E28" s="91">
        <v>57511</v>
      </c>
      <c r="F28" s="91">
        <v>78822</v>
      </c>
      <c r="G28" s="91">
        <v>77252</v>
      </c>
      <c r="H28" s="91">
        <v>146817</v>
      </c>
    </row>
    <row r="29" spans="1:21" x14ac:dyDescent="0.2">
      <c r="A29" s="90" t="s">
        <v>81</v>
      </c>
      <c r="B29" s="91">
        <v>5642</v>
      </c>
      <c r="C29" s="91">
        <v>12523</v>
      </c>
      <c r="D29" s="91">
        <v>10438</v>
      </c>
      <c r="E29" s="91">
        <v>11675</v>
      </c>
      <c r="F29" s="91">
        <v>18097</v>
      </c>
      <c r="G29" s="91">
        <v>26101</v>
      </c>
      <c r="H29" s="91">
        <v>31560</v>
      </c>
    </row>
    <row r="30" spans="1:21" x14ac:dyDescent="0.2">
      <c r="A30" s="90" t="s">
        <v>82</v>
      </c>
      <c r="B30" s="91">
        <v>0</v>
      </c>
      <c r="C30" s="91">
        <v>0</v>
      </c>
      <c r="D30" s="91">
        <v>0</v>
      </c>
      <c r="E30" s="91">
        <v>0</v>
      </c>
      <c r="F30" s="91">
        <v>0</v>
      </c>
      <c r="G30" s="91">
        <v>0</v>
      </c>
      <c r="H30" s="91">
        <v>0</v>
      </c>
    </row>
    <row r="31" spans="1:21" x14ac:dyDescent="0.2">
      <c r="A31" s="90" t="s">
        <v>84</v>
      </c>
      <c r="B31" s="91">
        <v>5642</v>
      </c>
      <c r="C31" s="91">
        <v>12523</v>
      </c>
      <c r="D31" s="91">
        <v>10438</v>
      </c>
      <c r="E31" s="91">
        <v>11675</v>
      </c>
      <c r="F31" s="91">
        <v>18097</v>
      </c>
      <c r="G31" s="91">
        <v>26101</v>
      </c>
      <c r="H31" s="91">
        <v>31560</v>
      </c>
    </row>
    <row r="32" spans="1:21" x14ac:dyDescent="0.2">
      <c r="A32" s="90" t="s">
        <v>85</v>
      </c>
      <c r="B32" s="91">
        <v>258848</v>
      </c>
      <c r="C32" s="91">
        <v>286556</v>
      </c>
      <c r="D32" s="91">
        <v>301311</v>
      </c>
      <c r="E32" s="91">
        <v>333779</v>
      </c>
      <c r="F32" s="91">
        <v>364840</v>
      </c>
      <c r="G32" s="91">
        <v>411976</v>
      </c>
      <c r="H32" s="91">
        <v>512163</v>
      </c>
    </row>
    <row r="33" spans="1:21" x14ac:dyDescent="0.2">
      <c r="A33" s="88" t="s">
        <v>86</v>
      </c>
    </row>
    <row r="34" spans="1:21" x14ac:dyDescent="0.2">
      <c r="A34" s="90" t="s">
        <v>87</v>
      </c>
      <c r="B34" s="91">
        <v>5573</v>
      </c>
      <c r="C34" s="91">
        <v>7348</v>
      </c>
      <c r="D34" s="91">
        <v>5905</v>
      </c>
      <c r="E34" s="91">
        <v>10825</v>
      </c>
      <c r="F34" s="91">
        <v>6037</v>
      </c>
      <c r="G34" s="91">
        <v>8853</v>
      </c>
      <c r="H34" s="91">
        <v>14871</v>
      </c>
    </row>
    <row r="35" spans="1:21" x14ac:dyDescent="0.2">
      <c r="A35" s="90" t="s">
        <v>88</v>
      </c>
      <c r="B35" s="91">
        <v>0</v>
      </c>
      <c r="C35" s="91">
        <v>0</v>
      </c>
      <c r="D35" s="91">
        <v>0</v>
      </c>
      <c r="E35" s="91">
        <v>0</v>
      </c>
      <c r="F35" s="91">
        <v>0</v>
      </c>
      <c r="G35" s="91">
        <v>0</v>
      </c>
      <c r="H35" s="91">
        <v>6693</v>
      </c>
    </row>
    <row r="36" spans="1:21" x14ac:dyDescent="0.2">
      <c r="A36" s="90" t="s">
        <v>89</v>
      </c>
      <c r="B36" s="91">
        <v>5573</v>
      </c>
      <c r="C36" s="91">
        <v>7348</v>
      </c>
      <c r="D36" s="91">
        <v>5905</v>
      </c>
      <c r="E36" s="91">
        <v>10825</v>
      </c>
      <c r="F36" s="91">
        <v>6037</v>
      </c>
      <c r="G36" s="91">
        <v>8853</v>
      </c>
      <c r="H36" s="91">
        <v>8178</v>
      </c>
    </row>
    <row r="37" spans="1:21" x14ac:dyDescent="0.2">
      <c r="A37" s="90" t="s">
        <v>90</v>
      </c>
      <c r="B37" s="91">
        <v>8617</v>
      </c>
      <c r="C37" s="91">
        <v>9382</v>
      </c>
      <c r="D37" s="91">
        <v>12530</v>
      </c>
      <c r="E37" s="91">
        <v>15163</v>
      </c>
      <c r="F37" s="91">
        <v>19000</v>
      </c>
      <c r="G37" s="91">
        <v>18095</v>
      </c>
      <c r="H37" s="91">
        <v>21996</v>
      </c>
      <c r="K37" s="116" t="s">
        <v>364</v>
      </c>
      <c r="L37" s="116"/>
      <c r="M37" s="116"/>
      <c r="N37" s="116"/>
      <c r="O37" s="116"/>
      <c r="P37" s="116"/>
      <c r="Q37" s="116"/>
      <c r="S37" s="102" t="s">
        <v>7</v>
      </c>
      <c r="T37" s="102" t="s">
        <v>370</v>
      </c>
      <c r="U37" s="102" t="s">
        <v>362</v>
      </c>
    </row>
    <row r="38" spans="1:21" x14ac:dyDescent="0.2">
      <c r="A38" s="90" t="s">
        <v>91</v>
      </c>
      <c r="B38" s="91">
        <v>2121</v>
      </c>
      <c r="C38" s="91">
        <v>5665</v>
      </c>
      <c r="D38" s="91">
        <v>2130</v>
      </c>
      <c r="E38" s="91">
        <v>2174</v>
      </c>
      <c r="F38" s="91">
        <v>4067</v>
      </c>
      <c r="G38" s="91">
        <v>4152</v>
      </c>
      <c r="H38" s="91">
        <v>5017</v>
      </c>
      <c r="K38" s="88">
        <v>2018</v>
      </c>
      <c r="L38" s="88">
        <v>2019</v>
      </c>
      <c r="M38" s="88">
        <v>2020</v>
      </c>
      <c r="N38" s="88">
        <v>2021</v>
      </c>
      <c r="O38" s="88">
        <v>2022</v>
      </c>
      <c r="P38" s="88">
        <v>2023</v>
      </c>
      <c r="Q38" s="88">
        <v>2024</v>
      </c>
      <c r="R38" s="105"/>
      <c r="S38" s="100">
        <v>2018</v>
      </c>
      <c r="T38" s="104">
        <f>K39</f>
        <v>110360000000</v>
      </c>
    </row>
    <row r="39" spans="1:21" x14ac:dyDescent="0.2">
      <c r="A39" s="90" t="s">
        <v>92</v>
      </c>
      <c r="B39" s="91">
        <v>42177</v>
      </c>
      <c r="C39" s="91">
        <v>47025</v>
      </c>
      <c r="D39" s="91">
        <v>51745</v>
      </c>
      <c r="E39" s="91">
        <v>60495</v>
      </c>
      <c r="F39" s="91">
        <v>65978</v>
      </c>
      <c r="G39" s="91">
        <v>73049</v>
      </c>
      <c r="H39" s="91">
        <v>83402</v>
      </c>
      <c r="K39" s="106">
        <v>110360000000</v>
      </c>
      <c r="L39" s="106">
        <v>125843000000</v>
      </c>
      <c r="M39" s="106">
        <v>143015000000</v>
      </c>
      <c r="N39" s="106">
        <v>168088000000</v>
      </c>
      <c r="O39" s="106">
        <v>198270000000</v>
      </c>
      <c r="P39" s="106">
        <v>211915000000</v>
      </c>
      <c r="Q39" s="106">
        <v>245122000000</v>
      </c>
      <c r="S39" s="100">
        <v>2019</v>
      </c>
      <c r="T39" s="104">
        <f>L39</f>
        <v>125843000000</v>
      </c>
    </row>
    <row r="40" spans="1:21" x14ac:dyDescent="0.2">
      <c r="A40" s="90" t="s">
        <v>93</v>
      </c>
      <c r="B40" s="91">
        <v>6103</v>
      </c>
      <c r="C40" s="91">
        <v>6830</v>
      </c>
      <c r="D40" s="91">
        <v>7874</v>
      </c>
      <c r="E40" s="91">
        <v>10057</v>
      </c>
      <c r="F40" s="91">
        <v>10661</v>
      </c>
      <c r="G40" s="91">
        <v>11009</v>
      </c>
      <c r="H40" s="91">
        <v>12564</v>
      </c>
      <c r="S40" s="103">
        <v>2020</v>
      </c>
      <c r="T40" s="104">
        <f>M39</f>
        <v>143015000000</v>
      </c>
      <c r="U40">
        <f>(T40+T39+T38)/3</f>
        <v>126406000000</v>
      </c>
    </row>
    <row r="41" spans="1:21" x14ac:dyDescent="0.2">
      <c r="A41" s="90" t="s">
        <v>94</v>
      </c>
      <c r="B41" s="91">
        <v>36074</v>
      </c>
      <c r="C41" s="91">
        <v>40195</v>
      </c>
      <c r="D41" s="91">
        <v>43871</v>
      </c>
      <c r="E41" s="91">
        <v>50438</v>
      </c>
      <c r="F41" s="91">
        <v>55317</v>
      </c>
      <c r="G41" s="91">
        <v>62040</v>
      </c>
      <c r="H41" s="91">
        <v>70838</v>
      </c>
      <c r="S41" s="103">
        <v>2021</v>
      </c>
      <c r="T41" s="104">
        <f>N39</f>
        <v>168088000000</v>
      </c>
      <c r="U41">
        <f t="shared" ref="U41:U44" si="2">(T41+T40+T39)/3</f>
        <v>145648666666.66666</v>
      </c>
    </row>
    <row r="42" spans="1:21" x14ac:dyDescent="0.2">
      <c r="A42" s="90" t="s">
        <v>95</v>
      </c>
      <c r="B42" s="91">
        <v>58488</v>
      </c>
      <c r="C42" s="91">
        <v>69420</v>
      </c>
      <c r="D42" s="91">
        <v>72310</v>
      </c>
      <c r="E42" s="91">
        <v>88657</v>
      </c>
      <c r="F42" s="91">
        <v>95082</v>
      </c>
      <c r="G42" s="91">
        <v>104149</v>
      </c>
      <c r="H42" s="91">
        <v>125286</v>
      </c>
      <c r="S42" s="103">
        <v>2022</v>
      </c>
      <c r="T42" s="104">
        <f>O39</f>
        <v>198270000000</v>
      </c>
      <c r="U42">
        <f t="shared" si="2"/>
        <v>169791000000</v>
      </c>
    </row>
    <row r="43" spans="1:21" x14ac:dyDescent="0.2">
      <c r="A43" s="90" t="s">
        <v>96</v>
      </c>
      <c r="B43" s="91">
        <v>81935</v>
      </c>
      <c r="C43" s="91">
        <v>79107</v>
      </c>
      <c r="D43" s="91">
        <v>76205</v>
      </c>
      <c r="E43" s="91">
        <v>71453</v>
      </c>
      <c r="F43" s="91">
        <v>72363</v>
      </c>
      <c r="G43" s="91">
        <v>70588</v>
      </c>
      <c r="H43" s="91">
        <v>82981</v>
      </c>
      <c r="S43" s="103">
        <v>2023</v>
      </c>
      <c r="T43" s="104">
        <f>P39</f>
        <v>211915000000</v>
      </c>
      <c r="U43">
        <f t="shared" si="2"/>
        <v>192757666666.66666</v>
      </c>
    </row>
    <row r="44" spans="1:21" x14ac:dyDescent="0.2">
      <c r="A44" s="90" t="s">
        <v>97</v>
      </c>
      <c r="B44" s="91">
        <v>0</v>
      </c>
      <c r="C44" s="91">
        <v>0</v>
      </c>
      <c r="D44" s="91">
        <v>0</v>
      </c>
      <c r="E44" s="91">
        <v>0</v>
      </c>
      <c r="F44" s="91">
        <v>0</v>
      </c>
      <c r="G44" s="91">
        <v>0</v>
      </c>
      <c r="H44" s="91">
        <v>0</v>
      </c>
      <c r="S44" s="103">
        <v>2024</v>
      </c>
      <c r="T44" s="104">
        <f>Q39</f>
        <v>245122000000</v>
      </c>
      <c r="U44">
        <f t="shared" si="2"/>
        <v>218435666666.66666</v>
      </c>
    </row>
    <row r="45" spans="1:21" x14ac:dyDescent="0.2">
      <c r="A45" s="90" t="s">
        <v>98</v>
      </c>
      <c r="B45" s="91">
        <v>0</v>
      </c>
      <c r="C45" s="91">
        <v>0</v>
      </c>
      <c r="D45" s="91">
        <v>0</v>
      </c>
      <c r="E45" s="91">
        <v>0</v>
      </c>
      <c r="F45" s="91">
        <v>0</v>
      </c>
      <c r="G45" s="91">
        <v>0</v>
      </c>
      <c r="H45" s="91">
        <v>0</v>
      </c>
    </row>
    <row r="46" spans="1:21" x14ac:dyDescent="0.2">
      <c r="A46" s="90" t="s">
        <v>99</v>
      </c>
      <c r="B46" s="91">
        <v>0</v>
      </c>
      <c r="C46" s="91">
        <v>0</v>
      </c>
      <c r="D46" s="91">
        <v>0</v>
      </c>
      <c r="E46" s="91">
        <v>0</v>
      </c>
      <c r="F46" s="91">
        <v>0</v>
      </c>
      <c r="G46" s="91">
        <v>0</v>
      </c>
      <c r="H46" s="91">
        <v>0</v>
      </c>
    </row>
    <row r="47" spans="1:21" x14ac:dyDescent="0.2">
      <c r="A47" s="90" t="s">
        <v>100</v>
      </c>
      <c r="B47" s="91">
        <v>0</v>
      </c>
      <c r="C47" s="91">
        <v>0</v>
      </c>
      <c r="D47" s="91">
        <v>0</v>
      </c>
      <c r="E47" s="91">
        <v>0</v>
      </c>
      <c r="F47" s="91">
        <v>0</v>
      </c>
      <c r="G47" s="91">
        <v>0</v>
      </c>
      <c r="H47" s="91">
        <v>0</v>
      </c>
      <c r="S47" s="102" t="s">
        <v>7</v>
      </c>
      <c r="T47" s="102" t="s">
        <v>370</v>
      </c>
      <c r="U47" s="102" t="s">
        <v>362</v>
      </c>
    </row>
    <row r="48" spans="1:21" x14ac:dyDescent="0.2">
      <c r="A48" s="90" t="s">
        <v>101</v>
      </c>
      <c r="B48" s="91">
        <v>72242</v>
      </c>
      <c r="C48" s="91">
        <v>66662</v>
      </c>
      <c r="D48" s="91">
        <v>0</v>
      </c>
      <c r="E48" s="91">
        <v>0</v>
      </c>
      <c r="F48" s="91">
        <v>0</v>
      </c>
      <c r="G48" s="91">
        <v>0</v>
      </c>
      <c r="H48" s="91">
        <v>0</v>
      </c>
      <c r="S48" s="103">
        <v>2020</v>
      </c>
      <c r="T48" s="104">
        <f t="shared" ref="T48:U52" si="3">T40</f>
        <v>143015000000</v>
      </c>
      <c r="U48">
        <f t="shared" si="3"/>
        <v>126406000000</v>
      </c>
    </row>
    <row r="49" spans="1:24" x14ac:dyDescent="0.2">
      <c r="A49" s="90" t="s">
        <v>102</v>
      </c>
      <c r="B49" s="91">
        <v>0</v>
      </c>
      <c r="C49" s="91">
        <v>0</v>
      </c>
      <c r="D49" s="91">
        <v>0</v>
      </c>
      <c r="E49" s="91">
        <v>0</v>
      </c>
      <c r="F49" s="91">
        <v>0</v>
      </c>
      <c r="G49" s="91">
        <v>0</v>
      </c>
      <c r="H49" s="91">
        <v>0</v>
      </c>
      <c r="S49" s="103">
        <v>2021</v>
      </c>
      <c r="T49" s="104">
        <f t="shared" si="3"/>
        <v>168088000000</v>
      </c>
      <c r="U49">
        <f t="shared" si="3"/>
        <v>145648666666.66666</v>
      </c>
    </row>
    <row r="50" spans="1:24" x14ac:dyDescent="0.2">
      <c r="A50" s="90" t="s">
        <v>103</v>
      </c>
      <c r="B50" s="91">
        <v>5568</v>
      </c>
      <c r="C50" s="91">
        <v>6188</v>
      </c>
      <c r="D50" s="91">
        <v>67249</v>
      </c>
      <c r="E50" s="91">
        <v>59703</v>
      </c>
      <c r="F50" s="91">
        <v>58521</v>
      </c>
      <c r="G50" s="91">
        <v>54718</v>
      </c>
      <c r="H50" s="91">
        <v>58185</v>
      </c>
      <c r="S50" s="103">
        <v>2022</v>
      </c>
      <c r="T50" s="104">
        <f t="shared" si="3"/>
        <v>198270000000</v>
      </c>
      <c r="U50">
        <f t="shared" si="3"/>
        <v>169791000000</v>
      </c>
    </row>
    <row r="51" spans="1:24" x14ac:dyDescent="0.2">
      <c r="A51" s="90" t="s">
        <v>104</v>
      </c>
      <c r="B51" s="91">
        <v>4125</v>
      </c>
      <c r="C51" s="91">
        <v>6257</v>
      </c>
      <c r="D51" s="91">
        <v>8956</v>
      </c>
      <c r="E51" s="91">
        <v>11750</v>
      </c>
      <c r="F51" s="91">
        <v>13842</v>
      </c>
      <c r="G51" s="91">
        <v>15870</v>
      </c>
      <c r="H51" s="91">
        <v>24796</v>
      </c>
      <c r="S51" s="103">
        <v>2023</v>
      </c>
      <c r="T51" s="104">
        <f t="shared" si="3"/>
        <v>211915000000</v>
      </c>
      <c r="U51">
        <f t="shared" si="3"/>
        <v>192757666666.66666</v>
      </c>
    </row>
    <row r="52" spans="1:24" x14ac:dyDescent="0.2">
      <c r="A52" s="90" t="s">
        <v>105</v>
      </c>
      <c r="B52" s="91">
        <v>35166</v>
      </c>
      <c r="C52" s="91">
        <v>35466</v>
      </c>
      <c r="D52" s="91">
        <v>34288</v>
      </c>
      <c r="E52" s="91">
        <v>31483</v>
      </c>
      <c r="F52" s="91">
        <v>30623</v>
      </c>
      <c r="G52" s="91">
        <v>30583</v>
      </c>
      <c r="H52" s="91">
        <v>32801</v>
      </c>
      <c r="S52" s="103">
        <v>2024</v>
      </c>
      <c r="T52" s="104">
        <f t="shared" si="3"/>
        <v>245122000000</v>
      </c>
      <c r="U52">
        <f t="shared" si="3"/>
        <v>218435666666.66666</v>
      </c>
    </row>
    <row r="53" spans="1:24" x14ac:dyDescent="0.2">
      <c r="A53" s="90" t="s">
        <v>106</v>
      </c>
      <c r="B53" s="91">
        <v>541</v>
      </c>
      <c r="C53" s="91">
        <v>233</v>
      </c>
      <c r="D53" s="91">
        <v>204</v>
      </c>
      <c r="E53" s="91">
        <v>198</v>
      </c>
      <c r="F53" s="91">
        <v>230</v>
      </c>
      <c r="G53" s="91">
        <v>433</v>
      </c>
      <c r="H53" s="91">
        <v>2618</v>
      </c>
    </row>
    <row r="54" spans="1:24" x14ac:dyDescent="0.2">
      <c r="A54" s="90" t="s">
        <v>107</v>
      </c>
      <c r="B54" s="91">
        <v>541</v>
      </c>
      <c r="C54" s="91">
        <v>233</v>
      </c>
      <c r="D54" s="91">
        <v>204</v>
      </c>
      <c r="E54" s="91">
        <v>198</v>
      </c>
      <c r="F54" s="91">
        <v>230</v>
      </c>
      <c r="G54" s="91">
        <v>433</v>
      </c>
      <c r="H54" s="91">
        <v>2618</v>
      </c>
    </row>
    <row r="55" spans="1:24" x14ac:dyDescent="0.2">
      <c r="A55" s="90" t="s">
        <v>108</v>
      </c>
      <c r="B55" s="91">
        <v>0</v>
      </c>
      <c r="C55" s="91">
        <v>0</v>
      </c>
      <c r="D55" s="91">
        <v>0</v>
      </c>
      <c r="E55" s="91">
        <v>0</v>
      </c>
      <c r="F55" s="91">
        <v>0</v>
      </c>
      <c r="G55" s="91">
        <v>0</v>
      </c>
      <c r="H55" s="91">
        <v>0</v>
      </c>
    </row>
    <row r="56" spans="1:24" x14ac:dyDescent="0.2">
      <c r="A56" s="90" t="s">
        <v>109</v>
      </c>
      <c r="B56" s="91">
        <v>0</v>
      </c>
      <c r="C56" s="91">
        <v>0</v>
      </c>
      <c r="D56" s="91">
        <v>0</v>
      </c>
      <c r="E56" s="91">
        <v>0</v>
      </c>
      <c r="F56" s="91">
        <v>0</v>
      </c>
      <c r="G56" s="91">
        <v>0</v>
      </c>
      <c r="H56" s="91">
        <v>0</v>
      </c>
    </row>
    <row r="57" spans="1:24" x14ac:dyDescent="0.2">
      <c r="A57" s="90" t="s">
        <v>110</v>
      </c>
      <c r="B57" s="91">
        <v>176130</v>
      </c>
      <c r="C57" s="91">
        <v>184226</v>
      </c>
      <c r="D57" s="91">
        <v>183007</v>
      </c>
      <c r="E57" s="91">
        <v>191791</v>
      </c>
      <c r="F57" s="91">
        <v>198298</v>
      </c>
      <c r="G57" s="91">
        <v>205753</v>
      </c>
      <c r="H57" s="91">
        <v>243686</v>
      </c>
    </row>
    <row r="58" spans="1:24" x14ac:dyDescent="0.2">
      <c r="A58" s="88" t="s">
        <v>111</v>
      </c>
    </row>
    <row r="59" spans="1:24" x14ac:dyDescent="0.2">
      <c r="A59" s="90" t="s">
        <v>112</v>
      </c>
      <c r="B59" s="91">
        <v>0</v>
      </c>
      <c r="C59" s="91">
        <v>0</v>
      </c>
      <c r="D59" s="91">
        <v>0</v>
      </c>
      <c r="E59" s="91">
        <v>0</v>
      </c>
      <c r="F59" s="91">
        <v>0</v>
      </c>
      <c r="G59" s="91">
        <v>0</v>
      </c>
      <c r="H59" s="91">
        <v>0</v>
      </c>
      <c r="Q59" s="102" t="s">
        <v>357</v>
      </c>
      <c r="R59" s="102"/>
      <c r="S59" s="102"/>
      <c r="T59" s="102"/>
      <c r="U59" s="102"/>
      <c r="V59" s="102"/>
      <c r="W59" s="102"/>
      <c r="X59" s="99"/>
    </row>
    <row r="60" spans="1:24" x14ac:dyDescent="0.2">
      <c r="A60" s="90" t="s">
        <v>113</v>
      </c>
      <c r="B60" s="91">
        <v>0</v>
      </c>
      <c r="C60" s="91">
        <v>0</v>
      </c>
      <c r="D60" s="91">
        <v>0</v>
      </c>
      <c r="E60" s="91">
        <v>0</v>
      </c>
      <c r="F60" s="91">
        <v>0</v>
      </c>
      <c r="G60" s="91">
        <v>0</v>
      </c>
      <c r="H60" s="91">
        <v>0</v>
      </c>
      <c r="Q60" s="108"/>
      <c r="R60" s="99"/>
      <c r="S60" s="99"/>
      <c r="T60" s="99"/>
      <c r="U60" s="99"/>
      <c r="V60" s="99"/>
      <c r="W60" s="99"/>
      <c r="X60" s="99"/>
    </row>
    <row r="61" spans="1:24" x14ac:dyDescent="0.2">
      <c r="A61" s="90" t="s">
        <v>114</v>
      </c>
      <c r="B61" s="91">
        <v>0</v>
      </c>
      <c r="C61" s="91">
        <v>0</v>
      </c>
      <c r="D61" s="91">
        <v>0</v>
      </c>
      <c r="E61" s="91">
        <v>0</v>
      </c>
      <c r="F61" s="91">
        <v>0</v>
      </c>
      <c r="G61" s="91">
        <v>0</v>
      </c>
      <c r="H61" s="91">
        <v>0</v>
      </c>
      <c r="Q61" s="99"/>
      <c r="R61" s="99"/>
      <c r="S61" s="99"/>
      <c r="T61" s="99"/>
      <c r="U61" s="99"/>
      <c r="V61" s="99"/>
      <c r="W61" s="99"/>
      <c r="X61" s="99"/>
    </row>
    <row r="62" spans="1:24" x14ac:dyDescent="0.2">
      <c r="A62" s="90" t="s">
        <v>115</v>
      </c>
      <c r="B62" s="91">
        <v>82718</v>
      </c>
      <c r="C62" s="91">
        <v>102330</v>
      </c>
      <c r="D62" s="91">
        <v>118304</v>
      </c>
      <c r="E62" s="91">
        <v>141988</v>
      </c>
      <c r="F62" s="91">
        <v>166542</v>
      </c>
      <c r="G62" s="91">
        <v>206223</v>
      </c>
      <c r="H62" s="91">
        <v>268477</v>
      </c>
      <c r="Q62" s="109" t="s">
        <v>360</v>
      </c>
      <c r="R62" s="102"/>
      <c r="S62" s="102"/>
      <c r="T62" s="102"/>
      <c r="U62" s="102"/>
      <c r="V62" s="99"/>
      <c r="W62" s="99"/>
      <c r="X62" s="99"/>
    </row>
    <row r="63" spans="1:24" x14ac:dyDescent="0.2">
      <c r="A63" s="90" t="s">
        <v>116</v>
      </c>
      <c r="B63" s="91">
        <v>4.8000000000000001E-2</v>
      </c>
      <c r="C63" s="91">
        <v>4.8000000000000001E-2</v>
      </c>
      <c r="D63" s="91">
        <v>4.7E-2</v>
      </c>
      <c r="E63" s="91">
        <v>4.7E-2</v>
      </c>
      <c r="F63" s="91">
        <v>4.7E-2</v>
      </c>
      <c r="G63" s="91">
        <v>4.5999999999999999E-2</v>
      </c>
      <c r="H63" s="91">
        <v>4.5999999999999999E-2</v>
      </c>
      <c r="K63" s="116" t="s">
        <v>365</v>
      </c>
      <c r="L63" s="116"/>
      <c r="M63" s="116"/>
      <c r="N63" s="116"/>
      <c r="O63" s="116"/>
      <c r="P63" s="71"/>
      <c r="Q63" s="71"/>
    </row>
    <row r="64" spans="1:24" x14ac:dyDescent="0.2">
      <c r="A64" s="90" t="s">
        <v>117</v>
      </c>
      <c r="B64" s="91">
        <v>71222.952000000005</v>
      </c>
      <c r="C64" s="91">
        <v>78519.952000000005</v>
      </c>
      <c r="D64" s="91">
        <v>80551.952999999994</v>
      </c>
      <c r="E64" s="91">
        <v>83110.952999999994</v>
      </c>
      <c r="F64" s="91">
        <v>86938.952999999994</v>
      </c>
      <c r="G64" s="91">
        <v>93717.953999999998</v>
      </c>
      <c r="H64" s="91">
        <v>100922.954</v>
      </c>
      <c r="K64" s="88">
        <v>2020</v>
      </c>
      <c r="L64" s="88">
        <v>2021</v>
      </c>
      <c r="M64" s="88">
        <v>2022</v>
      </c>
      <c r="N64" s="88">
        <v>2023</v>
      </c>
      <c r="O64" s="88">
        <v>2024</v>
      </c>
      <c r="P64" s="88"/>
      <c r="Q64" s="88"/>
    </row>
    <row r="65" spans="1:22" x14ac:dyDescent="0.2">
      <c r="A65" s="90" t="s">
        <v>118</v>
      </c>
      <c r="B65" s="91">
        <v>11495</v>
      </c>
      <c r="C65" s="91">
        <v>23810</v>
      </c>
      <c r="D65" s="91">
        <v>37752</v>
      </c>
      <c r="E65" s="91">
        <v>58877</v>
      </c>
      <c r="F65" s="91">
        <v>79603</v>
      </c>
      <c r="G65" s="91">
        <v>112505</v>
      </c>
      <c r="H65" s="91">
        <v>167554</v>
      </c>
      <c r="K65" s="70">
        <f>(T40-T39)/T39</f>
        <v>0.13645574247276368</v>
      </c>
      <c r="L65" s="70">
        <f>(T41-T40)/T40</f>
        <v>0.175317274411775</v>
      </c>
      <c r="M65" s="70">
        <f>(T42-T41)/T41</f>
        <v>0.17956070629670173</v>
      </c>
      <c r="N65" s="70">
        <f>(T43-T42)/T42</f>
        <v>6.8820295556564284E-2</v>
      </c>
      <c r="O65" s="70">
        <f>(T44-T43)/T43</f>
        <v>0.15669962013071279</v>
      </c>
      <c r="Q65" s="115" t="s">
        <v>335</v>
      </c>
      <c r="R65" s="115"/>
      <c r="S65" s="115"/>
      <c r="T65" s="115"/>
      <c r="U65" s="115"/>
      <c r="V65" s="115"/>
    </row>
    <row r="66" spans="1:22" x14ac:dyDescent="0.2">
      <c r="A66" s="90" t="s">
        <v>119</v>
      </c>
      <c r="B66" s="91">
        <v>0</v>
      </c>
      <c r="C66" s="91">
        <v>0</v>
      </c>
      <c r="D66" s="91">
        <v>0</v>
      </c>
      <c r="E66" s="91">
        <v>0</v>
      </c>
      <c r="F66" s="91">
        <v>0</v>
      </c>
      <c r="G66" s="91">
        <v>0</v>
      </c>
      <c r="H66" s="91">
        <v>0</v>
      </c>
    </row>
    <row r="67" spans="1:22" x14ac:dyDescent="0.2">
      <c r="A67" s="90" t="s">
        <v>120</v>
      </c>
      <c r="B67" s="91">
        <v>82718</v>
      </c>
      <c r="C67" s="91">
        <v>102330</v>
      </c>
      <c r="D67" s="91">
        <v>118304</v>
      </c>
      <c r="E67" s="91">
        <v>141988</v>
      </c>
      <c r="F67" s="91">
        <v>166542</v>
      </c>
      <c r="G67" s="91">
        <v>206223</v>
      </c>
      <c r="H67" s="91">
        <v>268477</v>
      </c>
      <c r="M67" s="116" t="s">
        <v>366</v>
      </c>
      <c r="N67" s="116"/>
    </row>
    <row r="68" spans="1:22" x14ac:dyDescent="0.2">
      <c r="A68" s="90" t="s">
        <v>121</v>
      </c>
      <c r="B68" s="91">
        <v>0</v>
      </c>
      <c r="C68" s="91">
        <v>0</v>
      </c>
      <c r="D68" s="91">
        <v>0</v>
      </c>
      <c r="E68" s="91">
        <v>0</v>
      </c>
      <c r="F68" s="91">
        <v>0</v>
      </c>
      <c r="G68" s="91">
        <v>0</v>
      </c>
      <c r="H68" s="91">
        <v>0</v>
      </c>
      <c r="M68" s="70">
        <f>(K65+L65+M65+N65+O65)/5</f>
        <v>0.14337072777370349</v>
      </c>
    </row>
    <row r="69" spans="1:22" x14ac:dyDescent="0.2">
      <c r="A69" s="90" t="s">
        <v>122</v>
      </c>
      <c r="B69" s="91">
        <v>82718</v>
      </c>
      <c r="C69" s="91">
        <v>102330</v>
      </c>
      <c r="D69" s="91">
        <v>118304</v>
      </c>
      <c r="E69" s="91">
        <v>141988</v>
      </c>
      <c r="F69" s="91">
        <v>166542</v>
      </c>
      <c r="G69" s="91">
        <v>206223</v>
      </c>
      <c r="H69" s="91">
        <v>268477</v>
      </c>
    </row>
    <row r="70" spans="1:22" x14ac:dyDescent="0.2">
      <c r="A70" s="90" t="s">
        <v>123</v>
      </c>
      <c r="B70" s="91">
        <v>258848</v>
      </c>
      <c r="C70" s="91">
        <v>286556</v>
      </c>
      <c r="D70" s="91">
        <v>301311</v>
      </c>
      <c r="E70" s="91">
        <v>333779</v>
      </c>
      <c r="F70" s="91">
        <v>364840</v>
      </c>
      <c r="G70" s="91">
        <v>411976</v>
      </c>
      <c r="H70" s="91">
        <v>512163</v>
      </c>
    </row>
    <row r="71" spans="1:22" x14ac:dyDescent="0.2">
      <c r="A71" s="88"/>
    </row>
    <row r="72" spans="1:22" x14ac:dyDescent="0.2">
      <c r="A72" s="89" t="s">
        <v>334</v>
      </c>
    </row>
    <row r="73" spans="1:22" x14ac:dyDescent="0.2">
      <c r="A73" s="90" t="s">
        <v>124</v>
      </c>
      <c r="B73" s="91">
        <v>110360</v>
      </c>
      <c r="C73" s="91">
        <v>125843</v>
      </c>
      <c r="D73" s="91">
        <v>143015</v>
      </c>
      <c r="E73" s="91">
        <v>168088</v>
      </c>
      <c r="F73" s="91">
        <v>198270</v>
      </c>
      <c r="G73" s="91">
        <v>211915</v>
      </c>
      <c r="H73" s="91">
        <v>245122</v>
      </c>
    </row>
    <row r="74" spans="1:22" x14ac:dyDescent="0.2">
      <c r="A74" s="90" t="s">
        <v>125</v>
      </c>
      <c r="B74" s="91">
        <v>28453</v>
      </c>
      <c r="C74" s="91">
        <v>31310</v>
      </c>
      <c r="D74" s="91">
        <v>33778</v>
      </c>
      <c r="E74" s="91">
        <v>41332</v>
      </c>
      <c r="F74" s="91">
        <v>48050</v>
      </c>
      <c r="G74" s="91">
        <v>52211</v>
      </c>
      <c r="H74" s="91">
        <v>54114</v>
      </c>
    </row>
    <row r="75" spans="1:22" x14ac:dyDescent="0.2">
      <c r="A75" s="90" t="s">
        <v>126</v>
      </c>
      <c r="B75" s="91">
        <v>36949</v>
      </c>
      <c r="C75" s="91">
        <v>39974</v>
      </c>
      <c r="D75" s="91">
        <v>43978</v>
      </c>
      <c r="E75" s="91">
        <v>45940</v>
      </c>
      <c r="F75" s="91">
        <v>52111</v>
      </c>
      <c r="G75" s="91">
        <v>56510</v>
      </c>
      <c r="H75" s="91">
        <v>61575</v>
      </c>
    </row>
    <row r="76" spans="1:22" x14ac:dyDescent="0.2">
      <c r="A76" s="90" t="s">
        <v>127</v>
      </c>
      <c r="B76" s="91">
        <v>44958</v>
      </c>
      <c r="C76" s="91">
        <v>54559</v>
      </c>
      <c r="D76" s="91">
        <v>65259</v>
      </c>
      <c r="E76" s="91">
        <v>80816</v>
      </c>
      <c r="F76" s="91">
        <v>98109</v>
      </c>
      <c r="G76" s="91">
        <v>103194</v>
      </c>
      <c r="H76" s="91">
        <v>129433</v>
      </c>
    </row>
    <row r="77" spans="1:22" x14ac:dyDescent="0.2">
      <c r="A77" s="90" t="s">
        <v>128</v>
      </c>
      <c r="B77" s="91">
        <v>9900</v>
      </c>
      <c r="C77" s="91">
        <v>11600</v>
      </c>
      <c r="D77" s="91">
        <v>12300</v>
      </c>
      <c r="E77" s="91">
        <v>10900</v>
      </c>
      <c r="F77" s="91">
        <v>14600</v>
      </c>
      <c r="G77" s="91">
        <v>13500</v>
      </c>
      <c r="H77" s="91">
        <v>20000</v>
      </c>
    </row>
    <row r="78" spans="1:22" x14ac:dyDescent="0.2">
      <c r="A78" s="90" t="s">
        <v>129</v>
      </c>
      <c r="B78" s="91">
        <v>2200</v>
      </c>
      <c r="C78" s="91">
        <v>1900</v>
      </c>
      <c r="D78" s="91">
        <v>1600</v>
      </c>
      <c r="E78" s="91">
        <v>1600</v>
      </c>
      <c r="F78" s="91">
        <v>2000</v>
      </c>
      <c r="G78" s="91">
        <v>2500</v>
      </c>
      <c r="H78" s="91">
        <v>4800</v>
      </c>
    </row>
    <row r="79" spans="1:22" x14ac:dyDescent="0.2">
      <c r="A79" s="90" t="s">
        <v>130</v>
      </c>
      <c r="B79" s="90" t="s">
        <v>83</v>
      </c>
      <c r="C79" s="90" t="s">
        <v>83</v>
      </c>
      <c r="D79" s="90" t="s">
        <v>83</v>
      </c>
      <c r="E79" s="90" t="s">
        <v>83</v>
      </c>
      <c r="F79" s="90" t="s">
        <v>83</v>
      </c>
      <c r="G79" s="90" t="s">
        <v>83</v>
      </c>
      <c r="H79" s="90" t="s">
        <v>83</v>
      </c>
    </row>
    <row r="80" spans="1:22" x14ac:dyDescent="0.2">
      <c r="A80" s="90" t="s">
        <v>131</v>
      </c>
      <c r="B80" s="90" t="s">
        <v>83</v>
      </c>
      <c r="C80" s="90" t="s">
        <v>83</v>
      </c>
      <c r="D80" s="90" t="s">
        <v>83</v>
      </c>
      <c r="E80" s="90" t="s">
        <v>83</v>
      </c>
      <c r="F80" s="90" t="s">
        <v>83</v>
      </c>
      <c r="G80" s="90" t="s">
        <v>83</v>
      </c>
      <c r="H80" s="90" t="s">
        <v>83</v>
      </c>
    </row>
    <row r="81" spans="1:8" x14ac:dyDescent="0.2">
      <c r="A81" s="90" t="s">
        <v>132</v>
      </c>
      <c r="B81" s="91">
        <v>35058</v>
      </c>
      <c r="C81" s="91">
        <v>42959</v>
      </c>
      <c r="D81" s="91">
        <v>52959</v>
      </c>
      <c r="E81" s="91">
        <v>69916</v>
      </c>
      <c r="F81" s="91">
        <v>83509</v>
      </c>
      <c r="G81" s="91">
        <v>89694</v>
      </c>
      <c r="H81" s="91">
        <v>109433</v>
      </c>
    </row>
    <row r="82" spans="1:8" x14ac:dyDescent="0.2">
      <c r="A82" s="90" t="s">
        <v>133</v>
      </c>
      <c r="B82" s="91">
        <v>2733</v>
      </c>
      <c r="C82" s="91">
        <v>2686</v>
      </c>
      <c r="D82" s="91">
        <v>2591</v>
      </c>
      <c r="E82" s="91">
        <v>2330</v>
      </c>
      <c r="F82" s="91">
        <v>2047</v>
      </c>
      <c r="G82" s="91">
        <v>1995</v>
      </c>
      <c r="H82" s="91">
        <v>2983</v>
      </c>
    </row>
    <row r="83" spans="1:8" x14ac:dyDescent="0.2">
      <c r="A83" s="90" t="s">
        <v>134</v>
      </c>
      <c r="B83" s="91">
        <v>4149</v>
      </c>
      <c r="C83" s="91">
        <v>3415</v>
      </c>
      <c r="D83" s="91">
        <v>2668</v>
      </c>
      <c r="E83" s="91">
        <v>3516</v>
      </c>
      <c r="F83" s="91">
        <v>2380</v>
      </c>
      <c r="G83" s="91">
        <v>2783</v>
      </c>
      <c r="H83" s="91">
        <v>1337</v>
      </c>
    </row>
    <row r="84" spans="1:8" x14ac:dyDescent="0.2">
      <c r="A84" s="90" t="s">
        <v>135</v>
      </c>
      <c r="B84" s="91">
        <v>4149</v>
      </c>
      <c r="C84" s="91">
        <v>3415</v>
      </c>
      <c r="D84" s="91">
        <v>2668</v>
      </c>
      <c r="E84" s="91">
        <v>3516</v>
      </c>
      <c r="F84" s="91">
        <v>2380</v>
      </c>
      <c r="G84" s="91">
        <v>2783</v>
      </c>
      <c r="H84" s="91">
        <v>1337</v>
      </c>
    </row>
    <row r="85" spans="1:8" x14ac:dyDescent="0.2">
      <c r="A85" s="90" t="s">
        <v>136</v>
      </c>
      <c r="B85" s="90" t="s">
        <v>83</v>
      </c>
      <c r="C85" s="90" t="s">
        <v>83</v>
      </c>
      <c r="D85" s="90" t="s">
        <v>83</v>
      </c>
      <c r="E85" s="90" t="s">
        <v>83</v>
      </c>
      <c r="F85" s="90" t="s">
        <v>83</v>
      </c>
      <c r="G85" s="90" t="s">
        <v>83</v>
      </c>
      <c r="H85" s="90" t="s">
        <v>83</v>
      </c>
    </row>
    <row r="86" spans="1:8" x14ac:dyDescent="0.2">
      <c r="A86" s="90" t="s">
        <v>137</v>
      </c>
      <c r="B86" s="91">
        <v>0</v>
      </c>
      <c r="C86" s="91">
        <v>0</v>
      </c>
      <c r="D86" s="91">
        <v>0</v>
      </c>
      <c r="E86" s="90" t="s">
        <v>83</v>
      </c>
      <c r="F86" s="91">
        <v>-126</v>
      </c>
      <c r="G86" s="91">
        <v>-1171</v>
      </c>
      <c r="H86" s="91">
        <v>0</v>
      </c>
    </row>
    <row r="87" spans="1:8" x14ac:dyDescent="0.2">
      <c r="A87" s="90" t="s">
        <v>138</v>
      </c>
      <c r="B87" s="91">
        <v>36474</v>
      </c>
      <c r="C87" s="91">
        <v>43688</v>
      </c>
      <c r="D87" s="91">
        <v>53036</v>
      </c>
      <c r="E87" s="91">
        <v>71102</v>
      </c>
      <c r="F87" s="91">
        <v>83716</v>
      </c>
      <c r="G87" s="91">
        <v>89311</v>
      </c>
      <c r="H87" s="91">
        <v>107787</v>
      </c>
    </row>
    <row r="88" spans="1:8" x14ac:dyDescent="0.2">
      <c r="A88" s="90" t="s">
        <v>139</v>
      </c>
      <c r="B88" s="91">
        <v>11527</v>
      </c>
      <c r="C88" s="91">
        <v>15799</v>
      </c>
      <c r="D88" s="91">
        <v>24116</v>
      </c>
      <c r="E88" s="91">
        <v>34972</v>
      </c>
      <c r="F88" s="91">
        <v>47837</v>
      </c>
      <c r="G88" s="91">
        <v>52917</v>
      </c>
      <c r="H88" s="91">
        <v>62886</v>
      </c>
    </row>
    <row r="89" spans="1:8" x14ac:dyDescent="0.2">
      <c r="A89" s="90" t="s">
        <v>140</v>
      </c>
      <c r="B89" s="91">
        <v>24947</v>
      </c>
      <c r="C89" s="91">
        <v>27889</v>
      </c>
      <c r="D89" s="91">
        <v>28920</v>
      </c>
      <c r="E89" s="91">
        <v>36130</v>
      </c>
      <c r="F89" s="91">
        <v>35879</v>
      </c>
      <c r="G89" s="91">
        <v>36394</v>
      </c>
      <c r="H89" s="91">
        <v>44901</v>
      </c>
    </row>
    <row r="90" spans="1:8" x14ac:dyDescent="0.2">
      <c r="A90" s="90" t="s">
        <v>141</v>
      </c>
      <c r="B90" s="91">
        <v>19903</v>
      </c>
      <c r="C90" s="91">
        <v>4448</v>
      </c>
      <c r="D90" s="91">
        <v>8755</v>
      </c>
      <c r="E90" s="91">
        <v>9831</v>
      </c>
      <c r="F90" s="91">
        <v>10978</v>
      </c>
      <c r="G90" s="91">
        <v>16950</v>
      </c>
      <c r="H90" s="91">
        <v>19651</v>
      </c>
    </row>
    <row r="91" spans="1:8" x14ac:dyDescent="0.2">
      <c r="A91" s="90" t="s">
        <v>142</v>
      </c>
      <c r="B91" s="91">
        <v>-5143</v>
      </c>
      <c r="C91" s="91">
        <v>-6463</v>
      </c>
      <c r="D91" s="91">
        <v>11</v>
      </c>
      <c r="E91" s="91">
        <v>-150</v>
      </c>
      <c r="F91" s="91">
        <v>-5702</v>
      </c>
      <c r="G91" s="91">
        <v>-6059</v>
      </c>
      <c r="H91" s="91">
        <v>-4738</v>
      </c>
    </row>
    <row r="92" spans="1:8" x14ac:dyDescent="0.2">
      <c r="A92" s="90" t="s">
        <v>143</v>
      </c>
      <c r="B92" s="91">
        <v>-4292</v>
      </c>
      <c r="C92" s="91">
        <v>-5647</v>
      </c>
      <c r="D92" s="91">
        <v>58</v>
      </c>
      <c r="E92" s="91">
        <v>25</v>
      </c>
      <c r="F92" s="91">
        <v>-4815</v>
      </c>
      <c r="G92" s="91">
        <v>-6146</v>
      </c>
      <c r="H92" s="91">
        <v>-4791</v>
      </c>
    </row>
    <row r="93" spans="1:8" x14ac:dyDescent="0.2">
      <c r="A93" s="90" t="s">
        <v>144</v>
      </c>
      <c r="B93" s="91">
        <v>-393</v>
      </c>
      <c r="C93" s="91">
        <v>194</v>
      </c>
      <c r="D93" s="91">
        <v>-41</v>
      </c>
      <c r="E93" s="91">
        <v>29</v>
      </c>
      <c r="F93" s="91">
        <v>175</v>
      </c>
      <c r="G93" s="91">
        <v>564</v>
      </c>
      <c r="H93" s="91">
        <v>432</v>
      </c>
    </row>
    <row r="94" spans="1:8" x14ac:dyDescent="0.2">
      <c r="A94" s="90" t="s">
        <v>145</v>
      </c>
      <c r="B94" s="91">
        <v>-458</v>
      </c>
      <c r="C94" s="91">
        <v>-1010</v>
      </c>
      <c r="D94" s="91">
        <v>-6</v>
      </c>
      <c r="E94" s="91">
        <v>-204</v>
      </c>
      <c r="F94" s="91">
        <v>-1062</v>
      </c>
      <c r="G94" s="91">
        <v>-477</v>
      </c>
      <c r="H94" s="91">
        <v>-379</v>
      </c>
    </row>
    <row r="95" spans="1:8" x14ac:dyDescent="0.2">
      <c r="A95" s="90" t="s">
        <v>146</v>
      </c>
      <c r="B95" s="91">
        <v>19764</v>
      </c>
      <c r="C95" s="91">
        <v>4718</v>
      </c>
      <c r="D95" s="91">
        <v>3537</v>
      </c>
      <c r="E95" s="91">
        <v>3285</v>
      </c>
      <c r="F95" s="91">
        <v>8329</v>
      </c>
      <c r="G95" s="91">
        <v>14009</v>
      </c>
      <c r="H95" s="91">
        <v>12165</v>
      </c>
    </row>
    <row r="96" spans="1:8" x14ac:dyDescent="0.2">
      <c r="A96" s="90" t="s">
        <v>147</v>
      </c>
      <c r="B96" s="91">
        <v>4348</v>
      </c>
      <c r="C96" s="91">
        <v>5531</v>
      </c>
      <c r="D96" s="91">
        <v>4444</v>
      </c>
      <c r="E96" s="91">
        <v>5467</v>
      </c>
      <c r="F96" s="91">
        <v>6672</v>
      </c>
      <c r="G96" s="91">
        <v>6678</v>
      </c>
      <c r="H96" s="91">
        <v>9858</v>
      </c>
    </row>
    <row r="97" spans="1:8" x14ac:dyDescent="0.2">
      <c r="A97" s="90" t="s">
        <v>148</v>
      </c>
      <c r="B97" s="91">
        <v>934</v>
      </c>
      <c r="C97" s="91">
        <v>662</v>
      </c>
      <c r="D97" s="91">
        <v>763</v>
      </c>
      <c r="E97" s="91">
        <v>1229</v>
      </c>
      <c r="F97" s="91">
        <v>1679</v>
      </c>
      <c r="G97" s="91">
        <v>2322</v>
      </c>
      <c r="H97" s="91">
        <v>2366</v>
      </c>
    </row>
    <row r="98" spans="1:8" x14ac:dyDescent="0.2">
      <c r="A98" s="90" t="s">
        <v>149</v>
      </c>
      <c r="B98" s="91">
        <v>0</v>
      </c>
      <c r="C98" s="91">
        <v>0</v>
      </c>
      <c r="D98" s="91">
        <v>0</v>
      </c>
      <c r="E98" s="91">
        <v>0</v>
      </c>
      <c r="F98" s="91">
        <v>0</v>
      </c>
      <c r="G98" s="91">
        <v>0</v>
      </c>
      <c r="H98" s="91">
        <v>0</v>
      </c>
    </row>
    <row r="99" spans="1:8" x14ac:dyDescent="0.2">
      <c r="A99" s="90" t="s">
        <v>150</v>
      </c>
      <c r="B99" s="91">
        <v>0</v>
      </c>
      <c r="C99" s="91">
        <v>0</v>
      </c>
      <c r="D99" s="91">
        <v>0</v>
      </c>
      <c r="E99" s="91">
        <v>0</v>
      </c>
      <c r="F99" s="91">
        <v>0</v>
      </c>
      <c r="G99" s="91">
        <v>0</v>
      </c>
      <c r="H99" s="91">
        <v>0</v>
      </c>
    </row>
    <row r="100" spans="1:8" x14ac:dyDescent="0.2">
      <c r="A100" s="90" t="s">
        <v>151</v>
      </c>
      <c r="B100" s="91">
        <v>16571</v>
      </c>
      <c r="C100" s="91">
        <v>39240</v>
      </c>
      <c r="D100" s="91">
        <v>44281</v>
      </c>
      <c r="E100" s="91">
        <v>61271</v>
      </c>
      <c r="F100" s="91">
        <v>72738</v>
      </c>
      <c r="G100" s="91">
        <v>72361</v>
      </c>
      <c r="H100" s="91">
        <v>88136</v>
      </c>
    </row>
    <row r="101" spans="1:8" x14ac:dyDescent="0.2">
      <c r="A101" s="90" t="s">
        <v>152</v>
      </c>
      <c r="B101" s="91">
        <v>0</v>
      </c>
      <c r="C101" s="91">
        <v>0</v>
      </c>
      <c r="D101" s="91">
        <v>0</v>
      </c>
      <c r="E101" s="91">
        <v>0</v>
      </c>
      <c r="F101" s="91">
        <v>0</v>
      </c>
      <c r="G101" s="91">
        <v>0</v>
      </c>
      <c r="H101" s="91">
        <v>0</v>
      </c>
    </row>
    <row r="102" spans="1:8" x14ac:dyDescent="0.2">
      <c r="A102" s="90" t="s">
        <v>153</v>
      </c>
      <c r="B102" s="91">
        <v>16571</v>
      </c>
      <c r="C102" s="91">
        <v>39240</v>
      </c>
      <c r="D102" s="91">
        <v>44281</v>
      </c>
      <c r="E102" s="91">
        <v>61271</v>
      </c>
      <c r="F102" s="91">
        <v>72738</v>
      </c>
      <c r="G102" s="91">
        <v>72361</v>
      </c>
      <c r="H102" s="91">
        <v>88136</v>
      </c>
    </row>
    <row r="103" spans="1:8" x14ac:dyDescent="0.2">
      <c r="A103" s="90" t="s">
        <v>154</v>
      </c>
      <c r="B103" s="91">
        <v>0</v>
      </c>
      <c r="C103" s="91">
        <v>0</v>
      </c>
      <c r="D103" s="91">
        <v>0</v>
      </c>
      <c r="E103" s="91">
        <v>0</v>
      </c>
      <c r="F103" s="91">
        <v>0</v>
      </c>
      <c r="G103" s="91">
        <v>0</v>
      </c>
      <c r="H103" s="91">
        <v>0</v>
      </c>
    </row>
    <row r="104" spans="1:8" x14ac:dyDescent="0.2">
      <c r="A104" s="90" t="s">
        <v>155</v>
      </c>
      <c r="B104" s="91">
        <v>16571</v>
      </c>
      <c r="C104" s="91">
        <v>39240</v>
      </c>
      <c r="D104" s="91">
        <v>44281</v>
      </c>
      <c r="E104" s="91">
        <v>61271</v>
      </c>
      <c r="F104" s="91">
        <v>72738</v>
      </c>
      <c r="G104" s="91">
        <v>72361</v>
      </c>
      <c r="H104" s="91">
        <v>88136</v>
      </c>
    </row>
    <row r="105" spans="1:8" x14ac:dyDescent="0.2">
      <c r="A105" s="90" t="s">
        <v>156</v>
      </c>
      <c r="B105" s="91">
        <v>0</v>
      </c>
      <c r="C105" s="91">
        <v>0</v>
      </c>
      <c r="D105" s="91">
        <v>0</v>
      </c>
      <c r="E105" s="91">
        <v>0</v>
      </c>
      <c r="F105" s="91">
        <v>0</v>
      </c>
      <c r="G105" s="91">
        <v>0</v>
      </c>
      <c r="H105" s="91">
        <v>0</v>
      </c>
    </row>
    <row r="106" spans="1:8" x14ac:dyDescent="0.2">
      <c r="A106" s="90" t="s">
        <v>157</v>
      </c>
      <c r="B106" s="91">
        <v>0</v>
      </c>
      <c r="C106" s="91">
        <v>0</v>
      </c>
      <c r="D106" s="91">
        <v>0</v>
      </c>
      <c r="E106" s="91">
        <v>0</v>
      </c>
      <c r="F106" s="91">
        <v>0</v>
      </c>
      <c r="G106" s="91">
        <v>0</v>
      </c>
      <c r="H106" s="91">
        <v>0</v>
      </c>
    </row>
    <row r="107" spans="1:8" x14ac:dyDescent="0.2">
      <c r="A107" s="90" t="s">
        <v>158</v>
      </c>
      <c r="B107" s="91">
        <v>0</v>
      </c>
      <c r="C107" s="91">
        <v>0</v>
      </c>
      <c r="D107" s="91">
        <v>0</v>
      </c>
      <c r="E107" s="91">
        <v>0</v>
      </c>
      <c r="F107" s="91">
        <v>0</v>
      </c>
      <c r="G107" s="91">
        <v>0</v>
      </c>
      <c r="H107" s="91">
        <v>0</v>
      </c>
    </row>
    <row r="108" spans="1:8" x14ac:dyDescent="0.2">
      <c r="A108" s="90" t="s">
        <v>159</v>
      </c>
      <c r="B108" s="91">
        <v>16571</v>
      </c>
      <c r="C108" s="91">
        <v>39240</v>
      </c>
      <c r="D108" s="91">
        <v>44281</v>
      </c>
      <c r="E108" s="91">
        <v>61271</v>
      </c>
      <c r="F108" s="91">
        <v>72738</v>
      </c>
      <c r="G108" s="91">
        <v>72361</v>
      </c>
      <c r="H108" s="91">
        <v>88136</v>
      </c>
    </row>
    <row r="109" spans="1:8" x14ac:dyDescent="0.2">
      <c r="A109" s="90" t="s">
        <v>160</v>
      </c>
      <c r="B109" s="91">
        <v>16571</v>
      </c>
      <c r="C109" s="91">
        <v>39240</v>
      </c>
      <c r="D109" s="91">
        <v>44281</v>
      </c>
      <c r="E109" s="91">
        <v>61271</v>
      </c>
      <c r="F109" s="91">
        <v>72738</v>
      </c>
      <c r="G109" s="91">
        <v>72361</v>
      </c>
      <c r="H109" s="91">
        <v>88136</v>
      </c>
    </row>
    <row r="110" spans="1:8" x14ac:dyDescent="0.2">
      <c r="A110" s="88"/>
    </row>
    <row r="111" spans="1:8" x14ac:dyDescent="0.2">
      <c r="A111" s="89" t="s">
        <v>321</v>
      </c>
    </row>
    <row r="112" spans="1:8" x14ac:dyDescent="0.2">
      <c r="A112" s="88" t="s">
        <v>161</v>
      </c>
    </row>
    <row r="113" spans="1:8" x14ac:dyDescent="0.2">
      <c r="A113" s="90" t="s">
        <v>151</v>
      </c>
      <c r="B113" s="91">
        <v>16571</v>
      </c>
      <c r="C113" s="91">
        <v>39240</v>
      </c>
      <c r="D113" s="91">
        <v>44281</v>
      </c>
      <c r="E113" s="91">
        <v>61271</v>
      </c>
      <c r="F113" s="91">
        <v>72738</v>
      </c>
      <c r="G113" s="91">
        <v>72361</v>
      </c>
      <c r="H113" s="91">
        <v>88136</v>
      </c>
    </row>
    <row r="114" spans="1:8" x14ac:dyDescent="0.2">
      <c r="A114" s="90" t="s">
        <v>128</v>
      </c>
      <c r="B114" s="91">
        <v>10261</v>
      </c>
      <c r="C114" s="91">
        <v>11682</v>
      </c>
      <c r="D114" s="91">
        <v>12796</v>
      </c>
      <c r="E114" s="91">
        <v>11686</v>
      </c>
      <c r="F114" s="91">
        <v>14460</v>
      </c>
      <c r="G114" s="91">
        <v>13861</v>
      </c>
      <c r="H114" s="91">
        <v>22287</v>
      </c>
    </row>
    <row r="115" spans="1:8" x14ac:dyDescent="0.2">
      <c r="A115" s="90" t="s">
        <v>156</v>
      </c>
      <c r="B115" s="91">
        <v>0</v>
      </c>
      <c r="C115" s="91">
        <v>0</v>
      </c>
      <c r="D115" s="91">
        <v>0</v>
      </c>
      <c r="E115" s="91">
        <v>0</v>
      </c>
      <c r="F115" s="91">
        <v>0</v>
      </c>
      <c r="G115" s="91">
        <v>0</v>
      </c>
      <c r="H115" s="91">
        <v>0</v>
      </c>
    </row>
    <row r="116" spans="1:8" x14ac:dyDescent="0.2">
      <c r="A116" s="90" t="s">
        <v>162</v>
      </c>
      <c r="B116" s="91">
        <v>-5143</v>
      </c>
      <c r="C116" s="91">
        <v>-6463</v>
      </c>
      <c r="D116" s="91">
        <v>11</v>
      </c>
      <c r="E116" s="91">
        <v>-150</v>
      </c>
      <c r="F116" s="91">
        <v>-5702</v>
      </c>
      <c r="G116" s="91">
        <v>-6059</v>
      </c>
      <c r="H116" s="91">
        <v>-4738</v>
      </c>
    </row>
    <row r="117" spans="1:8" x14ac:dyDescent="0.2">
      <c r="A117" s="90" t="s">
        <v>163</v>
      </c>
      <c r="B117" s="90" t="s">
        <v>83</v>
      </c>
      <c r="C117" s="90" t="s">
        <v>83</v>
      </c>
      <c r="D117" s="90" t="s">
        <v>83</v>
      </c>
      <c r="E117" s="90" t="s">
        <v>83</v>
      </c>
      <c r="F117" s="90" t="s">
        <v>83</v>
      </c>
      <c r="G117" s="90" t="s">
        <v>83</v>
      </c>
      <c r="H117" s="90" t="s">
        <v>83</v>
      </c>
    </row>
    <row r="118" spans="1:8" x14ac:dyDescent="0.2">
      <c r="A118" s="90" t="s">
        <v>164</v>
      </c>
      <c r="B118" s="90" t="s">
        <v>83</v>
      </c>
      <c r="C118" s="90" t="s">
        <v>83</v>
      </c>
      <c r="D118" s="90" t="s">
        <v>83</v>
      </c>
      <c r="E118" s="90" t="s">
        <v>83</v>
      </c>
      <c r="F118" s="90" t="s">
        <v>83</v>
      </c>
      <c r="G118" s="90" t="s">
        <v>83</v>
      </c>
      <c r="H118" s="90" t="s">
        <v>83</v>
      </c>
    </row>
    <row r="119" spans="1:8" x14ac:dyDescent="0.2">
      <c r="A119" s="90" t="s">
        <v>165</v>
      </c>
      <c r="B119" s="91">
        <v>1728</v>
      </c>
      <c r="C119" s="91">
        <v>3860</v>
      </c>
      <c r="D119" s="91">
        <v>5070</v>
      </c>
      <c r="E119" s="91">
        <v>4869</v>
      </c>
      <c r="F119" s="91">
        <v>7093</v>
      </c>
      <c r="G119" s="91">
        <v>9807</v>
      </c>
      <c r="H119" s="91">
        <v>11039</v>
      </c>
    </row>
    <row r="120" spans="1:8" x14ac:dyDescent="0.2">
      <c r="A120" s="90" t="s">
        <v>166</v>
      </c>
      <c r="B120" s="91">
        <v>-3862</v>
      </c>
      <c r="C120" s="91">
        <v>-2812</v>
      </c>
      <c r="D120" s="91">
        <v>-2577</v>
      </c>
      <c r="E120" s="91">
        <v>-6481</v>
      </c>
      <c r="F120" s="91">
        <v>-6834</v>
      </c>
      <c r="G120" s="91">
        <v>-4087</v>
      </c>
      <c r="H120" s="91">
        <v>-7191</v>
      </c>
    </row>
    <row r="121" spans="1:8" x14ac:dyDescent="0.2">
      <c r="A121" s="90" t="s">
        <v>167</v>
      </c>
      <c r="B121" s="91">
        <v>-465</v>
      </c>
      <c r="C121" s="91">
        <v>597</v>
      </c>
      <c r="D121" s="91">
        <v>168</v>
      </c>
      <c r="E121" s="91">
        <v>-737</v>
      </c>
      <c r="F121" s="91">
        <v>-1123</v>
      </c>
      <c r="G121" s="91">
        <v>1242</v>
      </c>
      <c r="H121" s="91">
        <v>1284</v>
      </c>
    </row>
    <row r="122" spans="1:8" x14ac:dyDescent="0.2">
      <c r="A122" s="90" t="s">
        <v>168</v>
      </c>
      <c r="B122" s="91">
        <v>1148</v>
      </c>
      <c r="C122" s="91">
        <v>232</v>
      </c>
      <c r="D122" s="91">
        <v>3018</v>
      </c>
      <c r="E122" s="91">
        <v>2798</v>
      </c>
      <c r="F122" s="91">
        <v>2943</v>
      </c>
      <c r="G122" s="91">
        <v>-2721</v>
      </c>
      <c r="H122" s="91">
        <v>3545</v>
      </c>
    </row>
    <row r="123" spans="1:8" x14ac:dyDescent="0.2">
      <c r="A123" s="90" t="s">
        <v>169</v>
      </c>
      <c r="B123" s="91">
        <v>18183</v>
      </c>
      <c r="C123" s="91">
        <v>2929</v>
      </c>
      <c r="D123" s="90" t="s">
        <v>83</v>
      </c>
      <c r="E123" s="90" t="s">
        <v>83</v>
      </c>
      <c r="F123" s="90" t="s">
        <v>83</v>
      </c>
      <c r="G123" s="90" t="s">
        <v>83</v>
      </c>
      <c r="H123" s="90" t="s">
        <v>83</v>
      </c>
    </row>
    <row r="124" spans="1:8" x14ac:dyDescent="0.2">
      <c r="A124" s="90" t="s">
        <v>170</v>
      </c>
      <c r="B124" s="91">
        <v>5463</v>
      </c>
      <c r="C124" s="91">
        <v>2920</v>
      </c>
      <c r="D124" s="91">
        <v>-2092</v>
      </c>
      <c r="E124" s="91">
        <v>3484</v>
      </c>
      <c r="F124" s="91">
        <v>5460</v>
      </c>
      <c r="G124" s="91">
        <v>3178</v>
      </c>
      <c r="H124" s="91">
        <v>4186</v>
      </c>
    </row>
    <row r="125" spans="1:8" x14ac:dyDescent="0.2">
      <c r="A125" s="90" t="s">
        <v>171</v>
      </c>
      <c r="B125" s="91">
        <v>43884</v>
      </c>
      <c r="C125" s="91">
        <v>52185</v>
      </c>
      <c r="D125" s="91">
        <v>60675</v>
      </c>
      <c r="E125" s="91">
        <v>76740</v>
      </c>
      <c r="F125" s="91">
        <v>89035</v>
      </c>
      <c r="G125" s="91">
        <v>87582</v>
      </c>
      <c r="H125" s="91">
        <v>118548</v>
      </c>
    </row>
    <row r="126" spans="1:8" x14ac:dyDescent="0.2">
      <c r="A126" s="88" t="s">
        <v>172</v>
      </c>
    </row>
    <row r="127" spans="1:8" x14ac:dyDescent="0.2">
      <c r="A127" s="90" t="s">
        <v>173</v>
      </c>
      <c r="B127" s="91">
        <v>137380</v>
      </c>
      <c r="C127" s="91">
        <v>57697</v>
      </c>
      <c r="D127" s="91">
        <v>77190</v>
      </c>
      <c r="E127" s="91">
        <v>62924</v>
      </c>
      <c r="F127" s="91">
        <v>26456</v>
      </c>
      <c r="G127" s="91">
        <v>37651</v>
      </c>
      <c r="H127" s="91">
        <v>17732</v>
      </c>
    </row>
    <row r="128" spans="1:8" x14ac:dyDescent="0.2">
      <c r="A128" s="90" t="s">
        <v>174</v>
      </c>
      <c r="B128" s="91">
        <v>143937</v>
      </c>
      <c r="C128" s="91">
        <v>58237</v>
      </c>
      <c r="D128" s="91">
        <v>84170</v>
      </c>
      <c r="E128" s="91">
        <v>65800</v>
      </c>
      <c r="F128" s="91">
        <v>44894</v>
      </c>
      <c r="G128" s="91">
        <v>47864</v>
      </c>
      <c r="H128" s="91">
        <v>35669</v>
      </c>
    </row>
    <row r="129" spans="1:8" x14ac:dyDescent="0.2">
      <c r="A129" s="90" t="s">
        <v>175</v>
      </c>
      <c r="B129" s="90" t="s">
        <v>83</v>
      </c>
      <c r="C129" s="90" t="s">
        <v>83</v>
      </c>
      <c r="D129" s="90" t="s">
        <v>83</v>
      </c>
      <c r="E129" s="90" t="s">
        <v>83</v>
      </c>
      <c r="F129" s="90" t="s">
        <v>83</v>
      </c>
      <c r="G129" s="90" t="s">
        <v>83</v>
      </c>
      <c r="H129" s="90" t="s">
        <v>83</v>
      </c>
    </row>
    <row r="130" spans="1:8" x14ac:dyDescent="0.2">
      <c r="A130" s="90" t="s">
        <v>176</v>
      </c>
      <c r="B130" s="91">
        <v>11632</v>
      </c>
      <c r="C130" s="91">
        <v>13925</v>
      </c>
      <c r="D130" s="91">
        <v>15441</v>
      </c>
      <c r="E130" s="91">
        <v>20622</v>
      </c>
      <c r="F130" s="91">
        <v>23886</v>
      </c>
      <c r="G130" s="91">
        <v>28107</v>
      </c>
      <c r="H130" s="91">
        <v>44477</v>
      </c>
    </row>
    <row r="131" spans="1:8" x14ac:dyDescent="0.2">
      <c r="A131" s="90" t="s">
        <v>177</v>
      </c>
      <c r="B131" s="91">
        <v>0</v>
      </c>
      <c r="C131" s="91">
        <v>0</v>
      </c>
      <c r="D131" s="91">
        <v>0</v>
      </c>
      <c r="E131" s="91">
        <v>0</v>
      </c>
      <c r="F131" s="91">
        <v>0</v>
      </c>
      <c r="G131" s="91">
        <v>0</v>
      </c>
      <c r="H131" s="91">
        <v>0</v>
      </c>
    </row>
    <row r="132" spans="1:8" x14ac:dyDescent="0.2">
      <c r="A132" s="90" t="s">
        <v>178</v>
      </c>
      <c r="B132" s="90" t="s">
        <v>83</v>
      </c>
      <c r="C132" s="90" t="s">
        <v>83</v>
      </c>
      <c r="D132" s="90" t="s">
        <v>83</v>
      </c>
      <c r="E132" s="90" t="s">
        <v>83</v>
      </c>
      <c r="F132" s="90" t="s">
        <v>83</v>
      </c>
      <c r="G132" s="90" t="s">
        <v>83</v>
      </c>
      <c r="H132" s="90" t="s">
        <v>83</v>
      </c>
    </row>
    <row r="133" spans="1:8" x14ac:dyDescent="0.2">
      <c r="A133" s="90" t="s">
        <v>179</v>
      </c>
      <c r="B133" s="91">
        <v>-986</v>
      </c>
      <c r="C133" s="91">
        <v>-2388</v>
      </c>
      <c r="D133" s="91">
        <v>-3762</v>
      </c>
      <c r="E133" s="91">
        <v>-9831</v>
      </c>
      <c r="F133" s="91">
        <v>-24863</v>
      </c>
      <c r="G133" s="91">
        <v>-4786</v>
      </c>
      <c r="H133" s="91">
        <v>-70430</v>
      </c>
    </row>
    <row r="134" spans="1:8" x14ac:dyDescent="0.2">
      <c r="A134" s="90" t="s">
        <v>180</v>
      </c>
      <c r="B134" s="91">
        <v>-6061</v>
      </c>
      <c r="C134" s="91">
        <v>-15773</v>
      </c>
      <c r="D134" s="91">
        <v>-12223</v>
      </c>
      <c r="E134" s="91">
        <v>-27577</v>
      </c>
      <c r="F134" s="91">
        <v>-30311</v>
      </c>
      <c r="G134" s="91">
        <v>-22680</v>
      </c>
      <c r="H134" s="91">
        <v>-96970</v>
      </c>
    </row>
    <row r="135" spans="1:8" x14ac:dyDescent="0.2">
      <c r="A135" s="88" t="s">
        <v>181</v>
      </c>
    </row>
    <row r="136" spans="1:8" x14ac:dyDescent="0.2">
      <c r="A136" s="90" t="s">
        <v>182</v>
      </c>
      <c r="B136" s="91">
        <v>1002</v>
      </c>
      <c r="C136" s="91">
        <v>1142</v>
      </c>
      <c r="D136" s="91">
        <v>1343</v>
      </c>
      <c r="E136" s="91">
        <v>1693</v>
      </c>
      <c r="F136" s="91">
        <v>1841</v>
      </c>
      <c r="G136" s="91">
        <v>1866</v>
      </c>
      <c r="H136" s="91">
        <v>2002</v>
      </c>
    </row>
    <row r="137" spans="1:8" x14ac:dyDescent="0.2">
      <c r="A137" s="90" t="s">
        <v>183</v>
      </c>
      <c r="B137" s="91">
        <v>10721</v>
      </c>
      <c r="C137" s="91">
        <v>19543</v>
      </c>
      <c r="D137" s="91">
        <v>22968</v>
      </c>
      <c r="E137" s="91">
        <v>27385</v>
      </c>
      <c r="F137" s="91">
        <v>32696</v>
      </c>
      <c r="G137" s="91">
        <v>22245</v>
      </c>
      <c r="H137" s="91">
        <v>17254</v>
      </c>
    </row>
    <row r="138" spans="1:8" x14ac:dyDescent="0.2">
      <c r="A138" s="90" t="s">
        <v>184</v>
      </c>
      <c r="B138" s="91">
        <v>12699</v>
      </c>
      <c r="C138" s="91">
        <v>13811</v>
      </c>
      <c r="D138" s="91">
        <v>15137</v>
      </c>
      <c r="E138" s="91">
        <v>16521</v>
      </c>
      <c r="F138" s="91">
        <v>18135</v>
      </c>
      <c r="G138" s="91">
        <v>19800</v>
      </c>
      <c r="H138" s="91">
        <v>21771</v>
      </c>
    </row>
    <row r="139" spans="1:8" x14ac:dyDescent="0.2">
      <c r="A139" s="90" t="s">
        <v>185</v>
      </c>
      <c r="B139" s="91">
        <v>7183</v>
      </c>
      <c r="C139" s="91">
        <v>0</v>
      </c>
      <c r="D139" s="91">
        <v>0</v>
      </c>
      <c r="E139" s="91">
        <v>0</v>
      </c>
      <c r="F139" s="91">
        <v>0</v>
      </c>
      <c r="G139" s="91">
        <v>0</v>
      </c>
      <c r="H139" s="91">
        <v>24395</v>
      </c>
    </row>
    <row r="140" spans="1:8" x14ac:dyDescent="0.2">
      <c r="A140" s="90" t="s">
        <v>186</v>
      </c>
      <c r="B140" s="91">
        <v>10060</v>
      </c>
      <c r="C140" s="91">
        <v>4000</v>
      </c>
      <c r="D140" s="91">
        <v>5518</v>
      </c>
      <c r="E140" s="91">
        <v>3750</v>
      </c>
      <c r="F140" s="91">
        <v>9023</v>
      </c>
      <c r="G140" s="91">
        <v>2750</v>
      </c>
      <c r="H140" s="91">
        <v>29070</v>
      </c>
    </row>
    <row r="141" spans="1:8" x14ac:dyDescent="0.2">
      <c r="A141" s="90" t="s">
        <v>187</v>
      </c>
      <c r="B141" s="91">
        <v>-7324</v>
      </c>
      <c r="C141" s="90" t="s">
        <v>83</v>
      </c>
      <c r="D141" s="90" t="s">
        <v>83</v>
      </c>
      <c r="E141" s="90" t="s">
        <v>83</v>
      </c>
      <c r="F141" s="90" t="s">
        <v>83</v>
      </c>
      <c r="G141" s="90" t="s">
        <v>83</v>
      </c>
      <c r="H141" s="91">
        <v>5250</v>
      </c>
    </row>
    <row r="142" spans="1:8" x14ac:dyDescent="0.2">
      <c r="A142" s="90" t="s">
        <v>188</v>
      </c>
      <c r="B142" s="91">
        <v>-971</v>
      </c>
      <c r="C142" s="91">
        <v>-675</v>
      </c>
      <c r="D142" s="91">
        <v>-3751</v>
      </c>
      <c r="E142" s="91">
        <v>-2523</v>
      </c>
      <c r="F142" s="91">
        <v>-863</v>
      </c>
      <c r="G142" s="91">
        <v>-1006</v>
      </c>
      <c r="H142" s="91">
        <v>-1309</v>
      </c>
    </row>
    <row r="143" spans="1:8" x14ac:dyDescent="0.2">
      <c r="A143" s="90" t="s">
        <v>189</v>
      </c>
      <c r="B143" s="91">
        <v>-33590</v>
      </c>
      <c r="C143" s="91">
        <v>-36887</v>
      </c>
      <c r="D143" s="91">
        <v>-46031</v>
      </c>
      <c r="E143" s="91">
        <v>-48486</v>
      </c>
      <c r="F143" s="91">
        <v>-58876</v>
      </c>
      <c r="G143" s="91">
        <v>-43935</v>
      </c>
      <c r="H143" s="91">
        <v>-37757</v>
      </c>
    </row>
    <row r="144" spans="1:8" x14ac:dyDescent="0.2">
      <c r="A144" s="90" t="s">
        <v>190</v>
      </c>
      <c r="B144" s="91">
        <v>50</v>
      </c>
      <c r="C144" s="91">
        <v>-115</v>
      </c>
      <c r="D144" s="91">
        <v>-201</v>
      </c>
      <c r="E144" s="91">
        <v>-29</v>
      </c>
      <c r="F144" s="91">
        <v>-141</v>
      </c>
      <c r="G144" s="91">
        <v>-194</v>
      </c>
      <c r="H144" s="91">
        <v>-210</v>
      </c>
    </row>
    <row r="145" spans="1:8" x14ac:dyDescent="0.2">
      <c r="A145" s="90" t="s">
        <v>191</v>
      </c>
      <c r="B145" s="91">
        <v>4283</v>
      </c>
      <c r="C145" s="91">
        <v>-590</v>
      </c>
      <c r="D145" s="91">
        <v>2220</v>
      </c>
      <c r="E145" s="91">
        <v>648</v>
      </c>
      <c r="F145" s="91">
        <v>-293</v>
      </c>
      <c r="G145" s="91">
        <v>20773</v>
      </c>
      <c r="H145" s="91">
        <v>-16389</v>
      </c>
    </row>
    <row r="146" spans="1:8" x14ac:dyDescent="0.2">
      <c r="A146" s="88" t="s">
        <v>192</v>
      </c>
    </row>
    <row r="147" spans="1:8" x14ac:dyDescent="0.2">
      <c r="A147" s="90" t="s">
        <v>193</v>
      </c>
      <c r="B147" s="91">
        <v>2400</v>
      </c>
      <c r="C147" s="91">
        <v>2400</v>
      </c>
      <c r="D147" s="91">
        <v>2400</v>
      </c>
      <c r="E147" s="91">
        <v>2000</v>
      </c>
      <c r="F147" s="91">
        <v>1900</v>
      </c>
      <c r="G147" s="91">
        <v>1700</v>
      </c>
      <c r="H147" s="91">
        <v>1700</v>
      </c>
    </row>
    <row r="148" spans="1:8" x14ac:dyDescent="0.2">
      <c r="A148" s="90" t="s">
        <v>194</v>
      </c>
      <c r="B148" s="91">
        <v>5500</v>
      </c>
      <c r="C148" s="91">
        <v>8400</v>
      </c>
      <c r="D148" s="91">
        <v>12500</v>
      </c>
      <c r="E148" s="91">
        <v>13400</v>
      </c>
      <c r="F148" s="91">
        <v>16000</v>
      </c>
      <c r="G148" s="91">
        <v>23100</v>
      </c>
      <c r="H148" s="91">
        <v>23400</v>
      </c>
    </row>
    <row r="149" spans="1:8" x14ac:dyDescent="0.2">
      <c r="A149" s="88"/>
    </row>
    <row r="150" spans="1:8" x14ac:dyDescent="0.2">
      <c r="A150" s="89" t="s">
        <v>333</v>
      </c>
    </row>
    <row r="151" spans="1:8" x14ac:dyDescent="0.2">
      <c r="A151" s="90" t="s">
        <v>195</v>
      </c>
      <c r="B151" s="90" t="s">
        <v>83</v>
      </c>
      <c r="C151" s="90" t="s">
        <v>83</v>
      </c>
      <c r="D151" s="90" t="s">
        <v>83</v>
      </c>
      <c r="E151" s="90" t="s">
        <v>83</v>
      </c>
      <c r="F151" s="90" t="s">
        <v>83</v>
      </c>
      <c r="G151" s="90" t="s">
        <v>83</v>
      </c>
      <c r="H151" s="90" t="s">
        <v>83</v>
      </c>
    </row>
    <row r="152" spans="1:8" x14ac:dyDescent="0.2">
      <c r="A152" s="90" t="s">
        <v>196</v>
      </c>
      <c r="B152" s="90" t="s">
        <v>83</v>
      </c>
      <c r="C152" s="90" t="s">
        <v>83</v>
      </c>
      <c r="D152" s="90" t="s">
        <v>83</v>
      </c>
      <c r="E152" s="90" t="s">
        <v>83</v>
      </c>
      <c r="F152" s="90" t="s">
        <v>83</v>
      </c>
      <c r="G152" s="90" t="s">
        <v>83</v>
      </c>
      <c r="H152" s="90" t="s">
        <v>83</v>
      </c>
    </row>
    <row r="153" spans="1:8" x14ac:dyDescent="0.2">
      <c r="A153" s="90" t="s">
        <v>197</v>
      </c>
      <c r="B153" s="91">
        <v>1</v>
      </c>
      <c r="C153" s="91">
        <v>1</v>
      </c>
      <c r="D153" s="91">
        <v>1</v>
      </c>
      <c r="E153" s="91">
        <v>1</v>
      </c>
      <c r="F153" s="91">
        <v>1</v>
      </c>
      <c r="G153" s="91">
        <v>1</v>
      </c>
      <c r="H153" s="91">
        <v>1</v>
      </c>
    </row>
    <row r="154" spans="1:8" x14ac:dyDescent="0.2">
      <c r="A154" s="90" t="s">
        <v>198</v>
      </c>
      <c r="B154" s="91">
        <v>1600</v>
      </c>
      <c r="C154" s="91">
        <v>1600</v>
      </c>
      <c r="D154" s="91">
        <v>1600</v>
      </c>
      <c r="E154" s="91">
        <v>1500</v>
      </c>
      <c r="F154" s="91">
        <v>1500</v>
      </c>
      <c r="G154" s="91">
        <v>904</v>
      </c>
      <c r="H154" s="91">
        <v>1700</v>
      </c>
    </row>
    <row r="155" spans="1:8" x14ac:dyDescent="0.2">
      <c r="A155" s="90" t="s">
        <v>199</v>
      </c>
      <c r="B155" s="90" t="s">
        <v>83</v>
      </c>
      <c r="C155" s="90" t="s">
        <v>83</v>
      </c>
      <c r="D155" s="90" t="s">
        <v>83</v>
      </c>
      <c r="E155" s="90" t="s">
        <v>83</v>
      </c>
      <c r="F155" s="90" t="s">
        <v>83</v>
      </c>
      <c r="G155" s="90" t="s">
        <v>83</v>
      </c>
      <c r="H155" s="90" t="s">
        <v>83</v>
      </c>
    </row>
    <row r="156" spans="1:8" x14ac:dyDescent="0.2">
      <c r="A156" s="90" t="s">
        <v>200</v>
      </c>
      <c r="B156" s="90" t="s">
        <v>83</v>
      </c>
      <c r="C156" s="90" t="s">
        <v>83</v>
      </c>
      <c r="D156" s="90" t="s">
        <v>83</v>
      </c>
      <c r="E156" s="90" t="s">
        <v>83</v>
      </c>
      <c r="F156" s="90" t="s">
        <v>83</v>
      </c>
      <c r="G156" s="90" t="s">
        <v>83</v>
      </c>
      <c r="H156" s="90" t="s">
        <v>83</v>
      </c>
    </row>
    <row r="157" spans="1:8" x14ac:dyDescent="0.2">
      <c r="A157" s="90" t="s">
        <v>201</v>
      </c>
      <c r="B157" s="91">
        <v>97.534999999999997</v>
      </c>
      <c r="C157" s="91">
        <v>94.069000000000003</v>
      </c>
      <c r="D157" s="91">
        <v>91.674000000000007</v>
      </c>
      <c r="E157" s="91">
        <v>89.290999999999997</v>
      </c>
      <c r="F157" s="91">
        <v>86.465000000000003</v>
      </c>
      <c r="G157" s="91">
        <v>83.882999999999996</v>
      </c>
      <c r="H157" s="91">
        <v>81.346000000000004</v>
      </c>
    </row>
    <row r="158" spans="1:8" x14ac:dyDescent="0.2">
      <c r="A158" s="90" t="s">
        <v>202</v>
      </c>
      <c r="B158" s="91">
        <v>7859197110</v>
      </c>
      <c r="C158" s="91">
        <v>6152112840</v>
      </c>
      <c r="D158" s="91">
        <v>9493105790</v>
      </c>
      <c r="E158" s="91">
        <v>6530712090</v>
      </c>
      <c r="F158" s="91">
        <v>7801692542</v>
      </c>
      <c r="G158" s="91">
        <v>6858444350</v>
      </c>
      <c r="H158" s="91">
        <v>5112922701</v>
      </c>
    </row>
    <row r="159" spans="1:8" x14ac:dyDescent="0.2">
      <c r="A159" s="90" t="s">
        <v>203</v>
      </c>
      <c r="B159" s="90" t="s">
        <v>83</v>
      </c>
      <c r="C159" s="90" t="s">
        <v>83</v>
      </c>
      <c r="D159" s="90" t="s">
        <v>83</v>
      </c>
      <c r="E159" s="90" t="s">
        <v>83</v>
      </c>
      <c r="F159" s="90" t="s">
        <v>83</v>
      </c>
      <c r="G159" s="90" t="s">
        <v>83</v>
      </c>
      <c r="H159" s="90" t="s">
        <v>83</v>
      </c>
    </row>
    <row r="160" spans="1:8" x14ac:dyDescent="0.2">
      <c r="A160" s="90" t="s">
        <v>204</v>
      </c>
      <c r="B160" s="91">
        <v>0</v>
      </c>
      <c r="C160" s="91">
        <v>0</v>
      </c>
      <c r="D160" s="91">
        <v>0</v>
      </c>
      <c r="E160" s="91">
        <v>0</v>
      </c>
      <c r="F160" s="91">
        <v>0</v>
      </c>
      <c r="G160" s="91">
        <v>0</v>
      </c>
      <c r="H160" s="91">
        <v>0</v>
      </c>
    </row>
    <row r="161" spans="1:8" x14ac:dyDescent="0.2">
      <c r="A161" s="90" t="s">
        <v>205</v>
      </c>
      <c r="B161" s="91">
        <v>5911</v>
      </c>
      <c r="C161" s="91">
        <v>4366</v>
      </c>
      <c r="D161" s="91">
        <v>8860</v>
      </c>
      <c r="E161" s="91">
        <v>3948</v>
      </c>
      <c r="F161" s="91">
        <v>6737</v>
      </c>
      <c r="G161" s="91">
        <v>4337</v>
      </c>
      <c r="H161" s="91">
        <v>6021</v>
      </c>
    </row>
    <row r="162" spans="1:8" x14ac:dyDescent="0.2">
      <c r="A162" s="90" t="s">
        <v>206</v>
      </c>
      <c r="B162" s="91">
        <v>4151</v>
      </c>
      <c r="C162" s="91">
        <v>8620</v>
      </c>
      <c r="D162" s="91">
        <v>3653</v>
      </c>
      <c r="E162" s="91">
        <v>6461</v>
      </c>
      <c r="F162" s="91">
        <v>4051</v>
      </c>
      <c r="G162" s="91">
        <v>4771</v>
      </c>
      <c r="H162" s="91">
        <v>12287</v>
      </c>
    </row>
    <row r="163" spans="1:8" x14ac:dyDescent="0.2">
      <c r="A163" s="90" t="s">
        <v>207</v>
      </c>
      <c r="B163" s="91">
        <v>8452</v>
      </c>
      <c r="C163" s="91">
        <v>3381</v>
      </c>
      <c r="D163" s="91">
        <v>6166</v>
      </c>
      <c r="E163" s="91">
        <v>3787</v>
      </c>
      <c r="F163" s="91">
        <v>4483</v>
      </c>
      <c r="G163" s="91">
        <v>9780</v>
      </c>
      <c r="H163" s="91">
        <v>3026</v>
      </c>
    </row>
    <row r="164" spans="1:8" x14ac:dyDescent="0.2">
      <c r="A164" s="90" t="s">
        <v>208</v>
      </c>
      <c r="B164" s="91">
        <v>3160</v>
      </c>
      <c r="C164" s="91">
        <v>5891</v>
      </c>
      <c r="D164" s="91">
        <v>3486</v>
      </c>
      <c r="E164" s="91">
        <v>4220</v>
      </c>
      <c r="F164" s="91">
        <v>9489</v>
      </c>
      <c r="G164" s="91">
        <v>1787</v>
      </c>
      <c r="H164" s="91">
        <v>4514</v>
      </c>
    </row>
    <row r="165" spans="1:8" x14ac:dyDescent="0.2">
      <c r="A165" s="90" t="s">
        <v>209</v>
      </c>
      <c r="B165" s="90" t="s">
        <v>83</v>
      </c>
      <c r="C165" s="90" t="s">
        <v>83</v>
      </c>
      <c r="D165" s="90" t="s">
        <v>83</v>
      </c>
      <c r="E165" s="90" t="s">
        <v>83</v>
      </c>
      <c r="F165" s="90" t="s">
        <v>83</v>
      </c>
      <c r="G165" s="90" t="s">
        <v>83</v>
      </c>
      <c r="H165" s="90" t="s">
        <v>83</v>
      </c>
    </row>
    <row r="166" spans="1:8" x14ac:dyDescent="0.2">
      <c r="A166" s="90" t="s">
        <v>210</v>
      </c>
      <c r="B166" s="91">
        <v>4125</v>
      </c>
      <c r="C166" s="91">
        <v>6257</v>
      </c>
      <c r="D166" s="91">
        <v>8956</v>
      </c>
      <c r="E166" s="91">
        <v>11750</v>
      </c>
      <c r="F166" s="91">
        <v>13842</v>
      </c>
      <c r="G166" s="91">
        <v>15870</v>
      </c>
      <c r="H166" s="91">
        <v>24796</v>
      </c>
    </row>
    <row r="167" spans="1:8" x14ac:dyDescent="0.2">
      <c r="A167" s="90" t="s">
        <v>211</v>
      </c>
      <c r="B167" s="91">
        <v>0</v>
      </c>
      <c r="C167" s="91">
        <v>0</v>
      </c>
      <c r="D167" s="91">
        <v>0</v>
      </c>
      <c r="E167" s="91">
        <v>0</v>
      </c>
      <c r="F167" s="91">
        <v>0</v>
      </c>
      <c r="G167" s="91">
        <v>0</v>
      </c>
      <c r="H167" s="91">
        <v>0</v>
      </c>
    </row>
    <row r="168" spans="1:8" x14ac:dyDescent="0.2">
      <c r="A168" s="90" t="s">
        <v>212</v>
      </c>
      <c r="B168" s="91">
        <v>1.65</v>
      </c>
      <c r="C168" s="91">
        <v>1.8</v>
      </c>
      <c r="D168" s="91">
        <v>1.99</v>
      </c>
      <c r="E168" s="91">
        <v>2.19</v>
      </c>
      <c r="F168" s="91">
        <v>2.42</v>
      </c>
      <c r="G168" s="91">
        <v>2.66</v>
      </c>
      <c r="H168" s="91">
        <v>2.93</v>
      </c>
    </row>
    <row r="169" spans="1:8" x14ac:dyDescent="0.2">
      <c r="A169" s="90" t="s">
        <v>213</v>
      </c>
      <c r="B169" s="91">
        <v>12917</v>
      </c>
      <c r="C169" s="91">
        <v>14103</v>
      </c>
      <c r="D169" s="91">
        <v>15483</v>
      </c>
      <c r="E169" s="91">
        <v>16871</v>
      </c>
      <c r="F169" s="91">
        <v>18552</v>
      </c>
      <c r="G169" s="91">
        <v>20226</v>
      </c>
      <c r="H169" s="91">
        <v>22293</v>
      </c>
    </row>
    <row r="170" spans="1:8" x14ac:dyDescent="0.2">
      <c r="A170" s="90" t="s">
        <v>214</v>
      </c>
      <c r="B170" s="91">
        <v>0</v>
      </c>
      <c r="C170" s="91">
        <v>0</v>
      </c>
      <c r="D170" s="91">
        <v>0</v>
      </c>
      <c r="E170" s="91">
        <v>0</v>
      </c>
      <c r="F170" s="91">
        <v>0</v>
      </c>
      <c r="G170" s="91">
        <v>0</v>
      </c>
      <c r="H170" s="91">
        <v>0</v>
      </c>
    </row>
    <row r="171" spans="1:8" x14ac:dyDescent="0.2">
      <c r="A171" s="90" t="s">
        <v>215</v>
      </c>
      <c r="B171" s="91">
        <v>131</v>
      </c>
      <c r="C171" s="91">
        <v>144</v>
      </c>
      <c r="D171" s="91">
        <v>163</v>
      </c>
      <c r="E171" s="91">
        <v>181</v>
      </c>
      <c r="F171" s="91">
        <v>221</v>
      </c>
      <c r="G171" s="91">
        <v>221</v>
      </c>
      <c r="H171" s="91">
        <v>228</v>
      </c>
    </row>
    <row r="172" spans="1:8" x14ac:dyDescent="0.2">
      <c r="A172" s="90" t="s">
        <v>216</v>
      </c>
      <c r="B172" s="91">
        <v>258848</v>
      </c>
      <c r="C172" s="91">
        <v>286556</v>
      </c>
      <c r="D172" s="91">
        <v>301311</v>
      </c>
      <c r="E172" s="91">
        <v>333779</v>
      </c>
      <c r="F172" s="91">
        <v>364840</v>
      </c>
      <c r="G172" s="91">
        <v>411976</v>
      </c>
      <c r="H172" s="91">
        <v>512163</v>
      </c>
    </row>
    <row r="173" spans="1:8" x14ac:dyDescent="0.2">
      <c r="A173" s="90" t="s">
        <v>217</v>
      </c>
      <c r="B173" s="90" t="s">
        <v>83</v>
      </c>
      <c r="C173" s="90" t="s">
        <v>83</v>
      </c>
      <c r="D173" s="90" t="s">
        <v>83</v>
      </c>
      <c r="E173" s="90" t="s">
        <v>83</v>
      </c>
      <c r="F173" s="90" t="s">
        <v>83</v>
      </c>
      <c r="G173" s="90" t="s">
        <v>83</v>
      </c>
      <c r="H173" s="90" t="s">
        <v>83</v>
      </c>
    </row>
    <row r="174" spans="1:8" x14ac:dyDescent="0.2">
      <c r="A174" s="90" t="s">
        <v>218</v>
      </c>
      <c r="B174" s="91">
        <v>-218</v>
      </c>
      <c r="C174" s="91">
        <v>-82</v>
      </c>
      <c r="D174" s="91">
        <v>-191</v>
      </c>
      <c r="E174" s="91">
        <v>54</v>
      </c>
      <c r="F174" s="91">
        <v>-75</v>
      </c>
      <c r="G174" s="91">
        <v>181</v>
      </c>
      <c r="H174" s="91">
        <v>-244</v>
      </c>
    </row>
    <row r="175" spans="1:8" x14ac:dyDescent="0.2">
      <c r="A175" s="90" t="s">
        <v>219</v>
      </c>
      <c r="B175" s="91">
        <v>0</v>
      </c>
      <c r="C175" s="91">
        <v>0</v>
      </c>
      <c r="D175" s="91">
        <v>0</v>
      </c>
      <c r="E175" s="91">
        <v>0</v>
      </c>
      <c r="F175" s="91">
        <v>0</v>
      </c>
      <c r="G175" s="91">
        <v>0</v>
      </c>
      <c r="H175" s="91">
        <v>0</v>
      </c>
    </row>
    <row r="176" spans="1:8" x14ac:dyDescent="0.2">
      <c r="A176" s="90" t="s">
        <v>220</v>
      </c>
      <c r="B176" s="90" t="s">
        <v>83</v>
      </c>
      <c r="C176" s="90" t="s">
        <v>83</v>
      </c>
      <c r="D176" s="90" t="s">
        <v>83</v>
      </c>
      <c r="E176" s="90" t="s">
        <v>83</v>
      </c>
      <c r="F176" s="90" t="s">
        <v>83</v>
      </c>
      <c r="G176" s="90" t="s">
        <v>83</v>
      </c>
      <c r="H176" s="90" t="s">
        <v>83</v>
      </c>
    </row>
    <row r="177" spans="1:8" x14ac:dyDescent="0.2">
      <c r="A177" s="90" t="s">
        <v>221</v>
      </c>
      <c r="B177" s="90" t="s">
        <v>83</v>
      </c>
      <c r="C177" s="90" t="s">
        <v>83</v>
      </c>
      <c r="D177" s="90" t="s">
        <v>83</v>
      </c>
      <c r="E177" s="90" t="s">
        <v>83</v>
      </c>
      <c r="F177" s="90" t="s">
        <v>83</v>
      </c>
      <c r="G177" s="90" t="s">
        <v>83</v>
      </c>
      <c r="H177" s="90" t="s">
        <v>83</v>
      </c>
    </row>
    <row r="178" spans="1:8" x14ac:dyDescent="0.2">
      <c r="A178" s="90" t="s">
        <v>222</v>
      </c>
      <c r="B178" s="91">
        <v>0</v>
      </c>
      <c r="C178" s="91">
        <v>0</v>
      </c>
      <c r="D178" s="91">
        <v>0</v>
      </c>
      <c r="E178" s="91">
        <v>0</v>
      </c>
      <c r="F178" s="91">
        <v>0</v>
      </c>
      <c r="G178" s="91">
        <v>0</v>
      </c>
      <c r="H178" s="91">
        <v>0</v>
      </c>
    </row>
    <row r="179" spans="1:8" x14ac:dyDescent="0.2">
      <c r="A179" s="90" t="s">
        <v>223</v>
      </c>
      <c r="B179" s="90" t="s">
        <v>83</v>
      </c>
      <c r="C179" s="90" t="s">
        <v>83</v>
      </c>
      <c r="D179" s="90" t="s">
        <v>83</v>
      </c>
      <c r="E179" s="90" t="s">
        <v>83</v>
      </c>
      <c r="F179" s="90" t="s">
        <v>83</v>
      </c>
      <c r="G179" s="90" t="s">
        <v>83</v>
      </c>
      <c r="H179" s="90" t="s">
        <v>83</v>
      </c>
    </row>
    <row r="180" spans="1:8" x14ac:dyDescent="0.2">
      <c r="A180" s="90" t="s">
        <v>224</v>
      </c>
      <c r="B180" s="91">
        <v>0</v>
      </c>
      <c r="C180" s="91">
        <v>0</v>
      </c>
      <c r="D180" s="91">
        <v>0</v>
      </c>
      <c r="E180" s="91">
        <v>0</v>
      </c>
      <c r="F180" s="91">
        <v>0</v>
      </c>
      <c r="G180" s="91">
        <v>0</v>
      </c>
      <c r="H180" s="91">
        <v>0</v>
      </c>
    </row>
    <row r="181" spans="1:8" x14ac:dyDescent="0.2">
      <c r="A181" s="90" t="s">
        <v>225</v>
      </c>
      <c r="B181" s="90" t="s">
        <v>83</v>
      </c>
      <c r="C181" s="90" t="s">
        <v>83</v>
      </c>
      <c r="D181" s="90" t="s">
        <v>83</v>
      </c>
      <c r="E181" s="90" t="s">
        <v>83</v>
      </c>
      <c r="F181" s="90" t="s">
        <v>83</v>
      </c>
      <c r="G181" s="90" t="s">
        <v>83</v>
      </c>
      <c r="H181" s="90" t="s">
        <v>83</v>
      </c>
    </row>
    <row r="182" spans="1:8" x14ac:dyDescent="0.2">
      <c r="A182" s="90" t="s">
        <v>226</v>
      </c>
      <c r="B182" s="91">
        <v>0</v>
      </c>
      <c r="C182" s="91">
        <v>0</v>
      </c>
      <c r="D182" s="91">
        <v>0</v>
      </c>
      <c r="E182" s="91">
        <v>0</v>
      </c>
      <c r="F182" s="91">
        <v>0</v>
      </c>
      <c r="G182" s="91">
        <v>0</v>
      </c>
      <c r="H182" s="91">
        <v>0</v>
      </c>
    </row>
    <row r="183" spans="1:8" x14ac:dyDescent="0.2">
      <c r="A183" s="90" t="s">
        <v>227</v>
      </c>
      <c r="B183" s="91">
        <v>0</v>
      </c>
      <c r="C183" s="91">
        <v>0</v>
      </c>
      <c r="D183" s="91">
        <v>0</v>
      </c>
      <c r="E183" s="91">
        <v>0</v>
      </c>
      <c r="F183" s="91">
        <v>0</v>
      </c>
      <c r="G183" s="91">
        <v>0</v>
      </c>
      <c r="H183" s="91">
        <v>0</v>
      </c>
    </row>
    <row r="184" spans="1:8" x14ac:dyDescent="0.2">
      <c r="A184" s="90" t="s">
        <v>228</v>
      </c>
      <c r="B184" s="91">
        <v>0</v>
      </c>
      <c r="C184" s="91">
        <v>0</v>
      </c>
      <c r="D184" s="91">
        <v>0</v>
      </c>
      <c r="E184" s="91">
        <v>0</v>
      </c>
      <c r="F184" s="91">
        <v>0</v>
      </c>
      <c r="G184" s="91">
        <v>0</v>
      </c>
      <c r="H184" s="91">
        <v>0</v>
      </c>
    </row>
    <row r="185" spans="1:8" x14ac:dyDescent="0.2">
      <c r="A185" s="90" t="s">
        <v>229</v>
      </c>
      <c r="B185" s="91">
        <v>11421</v>
      </c>
      <c r="C185" s="91">
        <v>12695</v>
      </c>
      <c r="D185" s="91">
        <v>14240</v>
      </c>
      <c r="E185" s="91">
        <v>17972</v>
      </c>
      <c r="F185" s="91">
        <v>21922</v>
      </c>
      <c r="G185" s="91">
        <v>22883</v>
      </c>
      <c r="H185" s="91">
        <v>28555</v>
      </c>
    </row>
    <row r="186" spans="1:8" x14ac:dyDescent="0.2">
      <c r="A186" s="90" t="s">
        <v>230</v>
      </c>
      <c r="B186" s="91">
        <v>101.57</v>
      </c>
      <c r="C186" s="91">
        <v>157.69999999999999</v>
      </c>
      <c r="D186" s="91">
        <v>222.42</v>
      </c>
      <c r="E186" s="91">
        <v>336.32</v>
      </c>
      <c r="F186" s="91">
        <v>239.82</v>
      </c>
      <c r="G186" s="91">
        <v>376.04</v>
      </c>
      <c r="H186" s="91">
        <v>421.5</v>
      </c>
    </row>
    <row r="187" spans="1:8" x14ac:dyDescent="0.2">
      <c r="A187" s="90" t="s">
        <v>231</v>
      </c>
      <c r="B187" s="91">
        <v>116.18</v>
      </c>
      <c r="C187" s="91">
        <v>159.55000000000001</v>
      </c>
      <c r="D187" s="91">
        <v>232.86</v>
      </c>
      <c r="E187" s="91">
        <v>349.67</v>
      </c>
      <c r="F187" s="91">
        <v>338</v>
      </c>
      <c r="G187" s="91">
        <v>384.3</v>
      </c>
      <c r="H187" s="91">
        <v>468.35</v>
      </c>
    </row>
    <row r="188" spans="1:8" x14ac:dyDescent="0.2">
      <c r="A188" s="90" t="s">
        <v>232</v>
      </c>
      <c r="B188" s="91">
        <v>83.83</v>
      </c>
      <c r="C188" s="91">
        <v>97.2</v>
      </c>
      <c r="D188" s="91">
        <v>132.52000000000001</v>
      </c>
      <c r="E188" s="91">
        <v>211.94</v>
      </c>
      <c r="F188" s="91">
        <v>213.43100000000001</v>
      </c>
      <c r="G188" s="91">
        <v>219.35</v>
      </c>
      <c r="H188" s="91">
        <v>366.5</v>
      </c>
    </row>
    <row r="189" spans="1:8" x14ac:dyDescent="0.2">
      <c r="A189" s="90" t="s">
        <v>233</v>
      </c>
      <c r="B189" s="91">
        <v>98.61</v>
      </c>
      <c r="C189" s="91">
        <v>133.96</v>
      </c>
      <c r="D189" s="91">
        <v>203.51</v>
      </c>
      <c r="E189" s="91">
        <v>270.89999999999998</v>
      </c>
      <c r="F189" s="91">
        <v>256.83</v>
      </c>
      <c r="G189" s="91">
        <v>340.54</v>
      </c>
      <c r="H189" s="91">
        <v>446.95</v>
      </c>
    </row>
    <row r="190" spans="1:8" x14ac:dyDescent="0.2">
      <c r="A190" s="90" t="s">
        <v>234</v>
      </c>
      <c r="B190" s="91">
        <v>377</v>
      </c>
      <c r="C190" s="91">
        <v>411</v>
      </c>
      <c r="D190" s="91">
        <v>788</v>
      </c>
      <c r="E190" s="91">
        <v>751</v>
      </c>
      <c r="F190" s="91">
        <v>633</v>
      </c>
      <c r="G190" s="91">
        <v>650</v>
      </c>
      <c r="H190" s="91">
        <v>830</v>
      </c>
    </row>
    <row r="191" spans="1:8" x14ac:dyDescent="0.2">
      <c r="A191" s="90" t="s">
        <v>235</v>
      </c>
      <c r="B191" s="91">
        <v>1492</v>
      </c>
      <c r="C191" s="91">
        <v>1678</v>
      </c>
      <c r="D191" s="91">
        <v>1807</v>
      </c>
      <c r="E191" s="91">
        <v>2125</v>
      </c>
      <c r="F191" s="91">
        <v>2456</v>
      </c>
      <c r="G191" s="91">
        <v>2784</v>
      </c>
      <c r="H191" s="91">
        <v>4124</v>
      </c>
    </row>
    <row r="192" spans="1:8" x14ac:dyDescent="0.2">
      <c r="A192" s="90" t="s">
        <v>236</v>
      </c>
      <c r="B192" s="91">
        <v>1347</v>
      </c>
      <c r="C192" s="91">
        <v>1438</v>
      </c>
      <c r="D192" s="91">
        <v>1652</v>
      </c>
      <c r="E192" s="91">
        <v>1954</v>
      </c>
      <c r="F192" s="91">
        <v>2278</v>
      </c>
      <c r="G192" s="91">
        <v>2508</v>
      </c>
      <c r="H192" s="91">
        <v>3549</v>
      </c>
    </row>
    <row r="193" spans="1:8" x14ac:dyDescent="0.2">
      <c r="A193" s="90" t="s">
        <v>237</v>
      </c>
      <c r="B193" s="91">
        <v>1086</v>
      </c>
      <c r="C193" s="91">
        <v>1235</v>
      </c>
      <c r="D193" s="91">
        <v>1474</v>
      </c>
      <c r="E193" s="91">
        <v>1751</v>
      </c>
      <c r="F193" s="91">
        <v>1985</v>
      </c>
      <c r="G193" s="91">
        <v>2142</v>
      </c>
      <c r="H193" s="91">
        <v>2981</v>
      </c>
    </row>
    <row r="194" spans="1:8" x14ac:dyDescent="0.2">
      <c r="A194" s="90" t="s">
        <v>238</v>
      </c>
      <c r="B194" s="91">
        <v>902</v>
      </c>
      <c r="C194" s="91">
        <v>1036</v>
      </c>
      <c r="D194" s="91">
        <v>1262</v>
      </c>
      <c r="E194" s="91">
        <v>1463</v>
      </c>
      <c r="F194" s="91">
        <v>1625</v>
      </c>
      <c r="G194" s="91">
        <v>1757</v>
      </c>
      <c r="H194" s="91">
        <v>2405</v>
      </c>
    </row>
    <row r="195" spans="1:8" x14ac:dyDescent="0.2">
      <c r="A195" s="90" t="s">
        <v>239</v>
      </c>
      <c r="B195" s="91">
        <v>721</v>
      </c>
      <c r="C195" s="91">
        <v>839</v>
      </c>
      <c r="D195" s="91">
        <v>1000</v>
      </c>
      <c r="E195" s="91">
        <v>1133</v>
      </c>
      <c r="F195" s="91">
        <v>1328</v>
      </c>
      <c r="G195" s="91">
        <v>1582</v>
      </c>
      <c r="H195" s="91">
        <v>1924</v>
      </c>
    </row>
    <row r="196" spans="1:8" x14ac:dyDescent="0.2">
      <c r="A196" s="90" t="s">
        <v>240</v>
      </c>
      <c r="B196" s="91">
        <v>1585</v>
      </c>
      <c r="C196" s="91">
        <v>1707</v>
      </c>
      <c r="D196" s="91">
        <v>2043</v>
      </c>
      <c r="E196" s="91">
        <v>2127</v>
      </c>
      <c r="F196" s="91">
        <v>2461</v>
      </c>
      <c r="G196" s="91">
        <v>2875</v>
      </c>
      <c r="H196" s="91">
        <v>3555</v>
      </c>
    </row>
    <row r="197" spans="1:8" x14ac:dyDescent="0.2">
      <c r="A197" s="90" t="s">
        <v>241</v>
      </c>
      <c r="B197" s="90" t="s">
        <v>83</v>
      </c>
      <c r="C197" s="90" t="s">
        <v>83</v>
      </c>
      <c r="D197" s="90" t="s">
        <v>83</v>
      </c>
      <c r="E197" s="90" t="s">
        <v>83</v>
      </c>
      <c r="F197" s="90" t="s">
        <v>83</v>
      </c>
      <c r="G197" s="90" t="s">
        <v>83</v>
      </c>
      <c r="H197" s="90" t="s">
        <v>83</v>
      </c>
    </row>
    <row r="198" spans="1:8" x14ac:dyDescent="0.2">
      <c r="A198" s="90" t="s">
        <v>242</v>
      </c>
      <c r="B198" s="91">
        <v>14726</v>
      </c>
      <c r="C198" s="91">
        <v>16876</v>
      </c>
      <c r="D198" s="91">
        <v>19269</v>
      </c>
      <c r="E198" s="91">
        <v>20716</v>
      </c>
      <c r="F198" s="91">
        <v>24512</v>
      </c>
      <c r="G198" s="91">
        <v>27195</v>
      </c>
      <c r="H198" s="91">
        <v>29510</v>
      </c>
    </row>
    <row r="199" spans="1:8" x14ac:dyDescent="0.2">
      <c r="A199" s="90" t="s">
        <v>243</v>
      </c>
      <c r="B199" s="91">
        <v>13057</v>
      </c>
      <c r="C199" s="91">
        <v>13348</v>
      </c>
      <c r="D199" s="91">
        <v>3522</v>
      </c>
      <c r="E199" s="91">
        <v>3604</v>
      </c>
      <c r="F199" s="91">
        <v>3718</v>
      </c>
      <c r="G199" s="91">
        <v>4009</v>
      </c>
      <c r="H199" s="91">
        <v>3975</v>
      </c>
    </row>
    <row r="200" spans="1:8" x14ac:dyDescent="0.2">
      <c r="A200" s="90" t="s">
        <v>244</v>
      </c>
      <c r="B200" s="91">
        <v>0</v>
      </c>
      <c r="C200" s="91">
        <v>0</v>
      </c>
      <c r="D200" s="91">
        <v>0</v>
      </c>
      <c r="E200" s="91">
        <v>0</v>
      </c>
      <c r="F200" s="91">
        <v>0</v>
      </c>
      <c r="G200" s="91">
        <v>0</v>
      </c>
      <c r="H200" s="91">
        <v>0</v>
      </c>
    </row>
    <row r="201" spans="1:8" x14ac:dyDescent="0.2">
      <c r="A201" s="90" t="s">
        <v>245</v>
      </c>
      <c r="B201" s="91">
        <v>0</v>
      </c>
      <c r="C201" s="91">
        <v>0</v>
      </c>
      <c r="D201" s="91">
        <v>0</v>
      </c>
      <c r="E201" s="91">
        <v>0</v>
      </c>
      <c r="F201" s="91">
        <v>0</v>
      </c>
      <c r="G201" s="91">
        <v>0</v>
      </c>
      <c r="H201" s="91">
        <v>0</v>
      </c>
    </row>
    <row r="202" spans="1:8" x14ac:dyDescent="0.2">
      <c r="A202" s="90" t="s">
        <v>246</v>
      </c>
      <c r="B202" s="91">
        <v>0</v>
      </c>
      <c r="C202" s="91">
        <v>0</v>
      </c>
      <c r="D202" s="91">
        <v>0</v>
      </c>
      <c r="E202" s="91">
        <v>0</v>
      </c>
      <c r="F202" s="91">
        <v>0</v>
      </c>
      <c r="G202" s="91">
        <v>0</v>
      </c>
      <c r="H202" s="91">
        <v>0</v>
      </c>
    </row>
    <row r="203" spans="1:8" x14ac:dyDescent="0.2">
      <c r="A203" s="88"/>
    </row>
    <row r="204" spans="1:8" x14ac:dyDescent="0.2">
      <c r="A204" s="89" t="s">
        <v>332</v>
      </c>
    </row>
    <row r="205" spans="1:8" x14ac:dyDescent="0.2">
      <c r="A205" s="90" t="s">
        <v>247</v>
      </c>
      <c r="B205" s="91">
        <v>26481</v>
      </c>
      <c r="C205" s="91">
        <v>29524</v>
      </c>
      <c r="D205" s="91">
        <v>32011</v>
      </c>
      <c r="E205" s="91">
        <v>38043</v>
      </c>
      <c r="F205" s="91">
        <v>44261</v>
      </c>
      <c r="G205" s="91">
        <v>48688</v>
      </c>
      <c r="H205" s="91">
        <v>56924</v>
      </c>
    </row>
    <row r="206" spans="1:8" x14ac:dyDescent="0.2">
      <c r="A206" s="90" t="s">
        <v>248</v>
      </c>
      <c r="B206" s="91">
        <v>0</v>
      </c>
      <c r="C206" s="91">
        <v>0</v>
      </c>
      <c r="D206" s="91">
        <v>0</v>
      </c>
      <c r="E206" s="91">
        <v>0</v>
      </c>
      <c r="F206" s="91">
        <v>0</v>
      </c>
      <c r="G206" s="91">
        <v>0</v>
      </c>
      <c r="H206" s="91">
        <v>0</v>
      </c>
    </row>
    <row r="207" spans="1:8" x14ac:dyDescent="0.2">
      <c r="A207" s="90" t="s">
        <v>249</v>
      </c>
      <c r="B207" s="91">
        <v>0</v>
      </c>
      <c r="C207" s="91">
        <v>0</v>
      </c>
      <c r="D207" s="91">
        <v>0</v>
      </c>
      <c r="E207" s="91">
        <v>0</v>
      </c>
      <c r="F207" s="91">
        <v>6100</v>
      </c>
      <c r="G207" s="91">
        <v>9200</v>
      </c>
      <c r="H207" s="91">
        <v>10500</v>
      </c>
    </row>
    <row r="208" spans="1:8" x14ac:dyDescent="0.2">
      <c r="A208" s="90" t="s">
        <v>250</v>
      </c>
      <c r="B208" s="91">
        <v>26481</v>
      </c>
      <c r="C208" s="91">
        <v>29524</v>
      </c>
      <c r="D208" s="91">
        <v>32011</v>
      </c>
      <c r="E208" s="91">
        <v>38043</v>
      </c>
      <c r="F208" s="91">
        <v>50361</v>
      </c>
      <c r="G208" s="91">
        <v>57888</v>
      </c>
      <c r="H208" s="91">
        <v>67424</v>
      </c>
    </row>
    <row r="209" spans="1:8" x14ac:dyDescent="0.2">
      <c r="A209" s="90" t="s">
        <v>251</v>
      </c>
      <c r="B209" s="91">
        <v>655</v>
      </c>
      <c r="C209" s="91">
        <v>399</v>
      </c>
      <c r="D209" s="91">
        <v>700</v>
      </c>
      <c r="E209" s="91">
        <v>1190</v>
      </c>
      <c r="F209" s="91">
        <v>1144</v>
      </c>
      <c r="G209" s="91">
        <v>709</v>
      </c>
      <c r="H209" s="91">
        <v>394</v>
      </c>
    </row>
    <row r="210" spans="1:8" x14ac:dyDescent="0.2">
      <c r="A210" s="90" t="s">
        <v>252</v>
      </c>
      <c r="B210" s="91">
        <v>54</v>
      </c>
      <c r="C210" s="91">
        <v>53</v>
      </c>
      <c r="D210" s="91">
        <v>83</v>
      </c>
      <c r="E210" s="91">
        <v>79</v>
      </c>
      <c r="F210" s="91">
        <v>82</v>
      </c>
      <c r="G210" s="91">
        <v>23</v>
      </c>
      <c r="H210" s="91">
        <v>7</v>
      </c>
    </row>
    <row r="211" spans="1:8" x14ac:dyDescent="0.2">
      <c r="A211" s="90" t="s">
        <v>253</v>
      </c>
      <c r="B211" s="91">
        <v>1953</v>
      </c>
      <c r="C211" s="91">
        <v>1611</v>
      </c>
      <c r="D211" s="91">
        <v>1112</v>
      </c>
      <c r="E211" s="91">
        <v>1367</v>
      </c>
      <c r="F211" s="91">
        <v>2516</v>
      </c>
      <c r="G211" s="91">
        <v>1768</v>
      </c>
      <c r="H211" s="91">
        <v>845</v>
      </c>
    </row>
    <row r="212" spans="1:8" x14ac:dyDescent="0.2">
      <c r="A212" s="90" t="s">
        <v>254</v>
      </c>
      <c r="B212" s="91">
        <v>0</v>
      </c>
      <c r="C212" s="91">
        <v>0</v>
      </c>
      <c r="D212" s="91">
        <v>0</v>
      </c>
      <c r="E212" s="91">
        <v>0</v>
      </c>
      <c r="F212" s="91">
        <v>0</v>
      </c>
      <c r="G212" s="91">
        <v>0</v>
      </c>
      <c r="H212" s="91">
        <v>0</v>
      </c>
    </row>
    <row r="213" spans="1:8" x14ac:dyDescent="0.2">
      <c r="A213" s="90" t="s">
        <v>66</v>
      </c>
      <c r="B213" s="91">
        <v>2662</v>
      </c>
      <c r="C213" s="91">
        <v>2063</v>
      </c>
      <c r="D213" s="91">
        <v>1895</v>
      </c>
      <c r="E213" s="91">
        <v>2636</v>
      </c>
      <c r="F213" s="91">
        <v>3742</v>
      </c>
      <c r="G213" s="91">
        <v>2500</v>
      </c>
      <c r="H213" s="91">
        <v>1246</v>
      </c>
    </row>
    <row r="214" spans="1:8" x14ac:dyDescent="0.2">
      <c r="A214" s="90" t="s">
        <v>255</v>
      </c>
      <c r="B214" s="91">
        <v>0</v>
      </c>
      <c r="C214" s="91">
        <v>0</v>
      </c>
      <c r="D214" s="91">
        <v>0</v>
      </c>
      <c r="E214" s="91">
        <v>0</v>
      </c>
      <c r="F214" s="91">
        <v>0</v>
      </c>
      <c r="G214" s="91">
        <v>0</v>
      </c>
      <c r="H214" s="91">
        <v>0</v>
      </c>
    </row>
    <row r="215" spans="1:8" x14ac:dyDescent="0.2">
      <c r="A215" s="90" t="s">
        <v>256</v>
      </c>
      <c r="B215" s="91">
        <v>0</v>
      </c>
      <c r="C215" s="91">
        <v>0</v>
      </c>
      <c r="D215" s="91">
        <v>0</v>
      </c>
      <c r="E215" s="91">
        <v>0</v>
      </c>
      <c r="F215" s="91">
        <v>0</v>
      </c>
      <c r="G215" s="91">
        <v>0</v>
      </c>
      <c r="H215" s="91">
        <v>0</v>
      </c>
    </row>
    <row r="216" spans="1:8" x14ac:dyDescent="0.2">
      <c r="A216" s="90" t="s">
        <v>257</v>
      </c>
      <c r="B216" s="91">
        <v>0</v>
      </c>
      <c r="C216" s="91">
        <v>0</v>
      </c>
      <c r="D216" s="91">
        <v>0</v>
      </c>
      <c r="E216" s="91">
        <v>0</v>
      </c>
      <c r="F216" s="91">
        <v>0</v>
      </c>
      <c r="G216" s="91">
        <v>0</v>
      </c>
      <c r="H216" s="91">
        <v>0</v>
      </c>
    </row>
    <row r="217" spans="1:8" x14ac:dyDescent="0.2">
      <c r="A217" s="90" t="s">
        <v>258</v>
      </c>
      <c r="B217" s="91">
        <v>0</v>
      </c>
      <c r="C217" s="91">
        <v>0</v>
      </c>
      <c r="D217" s="91">
        <v>0</v>
      </c>
      <c r="E217" s="91">
        <v>0</v>
      </c>
      <c r="F217" s="91">
        <v>0</v>
      </c>
      <c r="G217" s="91">
        <v>0</v>
      </c>
      <c r="H217" s="91">
        <v>0</v>
      </c>
    </row>
    <row r="218" spans="1:8" x14ac:dyDescent="0.2">
      <c r="A218" s="90" t="s">
        <v>259</v>
      </c>
      <c r="B218" s="91">
        <v>72242</v>
      </c>
      <c r="C218" s="91">
        <v>66662</v>
      </c>
      <c r="D218" s="91">
        <v>0</v>
      </c>
      <c r="E218" s="91">
        <v>0</v>
      </c>
      <c r="F218" s="91">
        <v>0</v>
      </c>
      <c r="G218" s="91">
        <v>0</v>
      </c>
      <c r="H218" s="91">
        <v>0</v>
      </c>
    </row>
    <row r="219" spans="1:8" x14ac:dyDescent="0.2">
      <c r="A219" s="90" t="s">
        <v>260</v>
      </c>
      <c r="B219" s="91">
        <v>0</v>
      </c>
      <c r="C219" s="91">
        <v>0</v>
      </c>
      <c r="D219" s="91">
        <v>0</v>
      </c>
      <c r="E219" s="91">
        <v>0</v>
      </c>
      <c r="F219" s="91">
        <v>0</v>
      </c>
      <c r="G219" s="91">
        <v>0</v>
      </c>
      <c r="H219" s="91">
        <v>0</v>
      </c>
    </row>
    <row r="220" spans="1:8" x14ac:dyDescent="0.2">
      <c r="A220" s="90" t="s">
        <v>261</v>
      </c>
      <c r="B220" s="91">
        <v>5568</v>
      </c>
      <c r="C220" s="91">
        <v>6188</v>
      </c>
      <c r="D220" s="91">
        <v>67249</v>
      </c>
      <c r="E220" s="91">
        <v>59703</v>
      </c>
      <c r="F220" s="91">
        <v>58521</v>
      </c>
      <c r="G220" s="91">
        <v>54718</v>
      </c>
      <c r="H220" s="91">
        <v>58185</v>
      </c>
    </row>
    <row r="221" spans="1:8" x14ac:dyDescent="0.2">
      <c r="A221" s="90" t="s">
        <v>262</v>
      </c>
      <c r="B221" s="91">
        <v>4125</v>
      </c>
      <c r="C221" s="91">
        <v>6257</v>
      </c>
      <c r="D221" s="91">
        <v>8956</v>
      </c>
      <c r="E221" s="91">
        <v>11750</v>
      </c>
      <c r="F221" s="91">
        <v>13842</v>
      </c>
      <c r="G221" s="91">
        <v>15870</v>
      </c>
      <c r="H221" s="91">
        <v>24796</v>
      </c>
    </row>
    <row r="222" spans="1:8" x14ac:dyDescent="0.2">
      <c r="A222" s="90" t="s">
        <v>263</v>
      </c>
      <c r="B222" s="91">
        <v>81935</v>
      </c>
      <c r="C222" s="91">
        <v>79107</v>
      </c>
      <c r="D222" s="91">
        <v>76205</v>
      </c>
      <c r="E222" s="91">
        <v>71453</v>
      </c>
      <c r="F222" s="91">
        <v>72363</v>
      </c>
      <c r="G222" s="91">
        <v>70588</v>
      </c>
      <c r="H222" s="91">
        <v>82981</v>
      </c>
    </row>
    <row r="223" spans="1:8" x14ac:dyDescent="0.2">
      <c r="A223" s="88" t="s">
        <v>264</v>
      </c>
    </row>
    <row r="224" spans="1:8" x14ac:dyDescent="0.2">
      <c r="A224" s="90" t="s">
        <v>265</v>
      </c>
      <c r="B224" s="90" t="s">
        <v>83</v>
      </c>
      <c r="C224" s="90" t="s">
        <v>83</v>
      </c>
      <c r="D224" s="90" t="s">
        <v>83</v>
      </c>
      <c r="E224" s="90" t="s">
        <v>83</v>
      </c>
      <c r="F224" s="90" t="s">
        <v>83</v>
      </c>
      <c r="G224" s="90" t="s">
        <v>83</v>
      </c>
      <c r="H224" s="90" t="s">
        <v>83</v>
      </c>
    </row>
    <row r="225" spans="1:8" x14ac:dyDescent="0.2">
      <c r="A225" s="90" t="s">
        <v>176</v>
      </c>
      <c r="B225" s="91">
        <v>11632</v>
      </c>
      <c r="C225" s="91">
        <v>13925</v>
      </c>
      <c r="D225" s="91">
        <v>15441</v>
      </c>
      <c r="E225" s="91">
        <v>20622</v>
      </c>
      <c r="F225" s="91">
        <v>23886</v>
      </c>
      <c r="G225" s="91">
        <v>28107</v>
      </c>
      <c r="H225" s="91">
        <v>44477</v>
      </c>
    </row>
    <row r="226" spans="1:8" x14ac:dyDescent="0.2">
      <c r="A226" s="90" t="s">
        <v>266</v>
      </c>
      <c r="B226" s="90" t="s">
        <v>83</v>
      </c>
      <c r="C226" s="90" t="s">
        <v>83</v>
      </c>
      <c r="D226" s="90" t="s">
        <v>83</v>
      </c>
      <c r="E226" s="90" t="s">
        <v>83</v>
      </c>
      <c r="F226" s="90" t="s">
        <v>83</v>
      </c>
      <c r="G226" s="90" t="s">
        <v>83</v>
      </c>
      <c r="H226" s="90" t="s">
        <v>83</v>
      </c>
    </row>
    <row r="227" spans="1:8" x14ac:dyDescent="0.2">
      <c r="A227" s="90" t="s">
        <v>267</v>
      </c>
      <c r="B227" s="90" t="s">
        <v>83</v>
      </c>
      <c r="C227" s="90" t="s">
        <v>83</v>
      </c>
      <c r="D227" s="90" t="s">
        <v>83</v>
      </c>
      <c r="E227" s="90" t="s">
        <v>83</v>
      </c>
      <c r="F227" s="90" t="s">
        <v>83</v>
      </c>
      <c r="G227" s="90" t="s">
        <v>83</v>
      </c>
      <c r="H227" s="90" t="s">
        <v>83</v>
      </c>
    </row>
    <row r="228" spans="1:8" x14ac:dyDescent="0.2">
      <c r="A228" s="90" t="s">
        <v>268</v>
      </c>
      <c r="B228" s="91">
        <v>65369</v>
      </c>
      <c r="C228" s="91">
        <v>79186</v>
      </c>
      <c r="D228" s="91">
        <v>96101</v>
      </c>
      <c r="E228" s="91">
        <v>122154</v>
      </c>
      <c r="F228" s="91">
        <v>147206</v>
      </c>
      <c r="G228" s="91">
        <v>178238</v>
      </c>
      <c r="H228" s="91">
        <v>230973</v>
      </c>
    </row>
    <row r="229" spans="1:8" x14ac:dyDescent="0.2">
      <c r="A229" s="88" t="s">
        <v>269</v>
      </c>
    </row>
    <row r="230" spans="1:8" x14ac:dyDescent="0.2">
      <c r="A230" s="90" t="s">
        <v>265</v>
      </c>
      <c r="B230" s="90" t="s">
        <v>83</v>
      </c>
      <c r="C230" s="90" t="s">
        <v>83</v>
      </c>
      <c r="D230" s="90" t="s">
        <v>83</v>
      </c>
      <c r="E230" s="90" t="s">
        <v>83</v>
      </c>
      <c r="F230" s="90" t="s">
        <v>83</v>
      </c>
      <c r="G230" s="90" t="s">
        <v>83</v>
      </c>
      <c r="H230" s="90" t="s">
        <v>83</v>
      </c>
    </row>
    <row r="231" spans="1:8" x14ac:dyDescent="0.2">
      <c r="A231" s="90" t="s">
        <v>270</v>
      </c>
      <c r="B231" s="90" t="s">
        <v>83</v>
      </c>
      <c r="C231" s="90" t="s">
        <v>83</v>
      </c>
      <c r="D231" s="90" t="s">
        <v>83</v>
      </c>
      <c r="E231" s="90" t="s">
        <v>83</v>
      </c>
      <c r="F231" s="90" t="s">
        <v>83</v>
      </c>
      <c r="G231" s="90" t="s">
        <v>83</v>
      </c>
      <c r="H231" s="90" t="s">
        <v>83</v>
      </c>
    </row>
    <row r="232" spans="1:8" x14ac:dyDescent="0.2">
      <c r="A232" s="90" t="s">
        <v>271</v>
      </c>
      <c r="B232" s="90" t="s">
        <v>83</v>
      </c>
      <c r="C232" s="90" t="s">
        <v>83</v>
      </c>
      <c r="D232" s="90" t="s">
        <v>83</v>
      </c>
      <c r="E232" s="90" t="s">
        <v>83</v>
      </c>
      <c r="F232" s="90" t="s">
        <v>83</v>
      </c>
      <c r="G232" s="90" t="s">
        <v>83</v>
      </c>
      <c r="H232" s="90" t="s">
        <v>83</v>
      </c>
    </row>
    <row r="233" spans="1:8" x14ac:dyDescent="0.2">
      <c r="A233" s="90" t="s">
        <v>266</v>
      </c>
      <c r="B233" s="90" t="s">
        <v>83</v>
      </c>
      <c r="C233" s="90" t="s">
        <v>83</v>
      </c>
      <c r="D233" s="90" t="s">
        <v>83</v>
      </c>
      <c r="E233" s="90" t="s">
        <v>83</v>
      </c>
      <c r="F233" s="90" t="s">
        <v>83</v>
      </c>
      <c r="G233" s="90" t="s">
        <v>83</v>
      </c>
      <c r="H233" s="90" t="s">
        <v>83</v>
      </c>
    </row>
    <row r="234" spans="1:8" x14ac:dyDescent="0.2">
      <c r="A234" s="90" t="s">
        <v>267</v>
      </c>
      <c r="B234" s="90" t="s">
        <v>83</v>
      </c>
      <c r="C234" s="90" t="s">
        <v>83</v>
      </c>
      <c r="D234" s="90" t="s">
        <v>83</v>
      </c>
      <c r="E234" s="90" t="s">
        <v>83</v>
      </c>
      <c r="F234" s="90" t="s">
        <v>83</v>
      </c>
      <c r="G234" s="90" t="s">
        <v>83</v>
      </c>
      <c r="H234" s="90" t="s">
        <v>83</v>
      </c>
    </row>
    <row r="235" spans="1:8" x14ac:dyDescent="0.2">
      <c r="A235" s="90" t="s">
        <v>268</v>
      </c>
      <c r="B235" s="91">
        <v>29223</v>
      </c>
      <c r="C235" s="91">
        <v>35330</v>
      </c>
      <c r="D235" s="91">
        <v>43197</v>
      </c>
      <c r="E235" s="91">
        <v>51351</v>
      </c>
      <c r="F235" s="91">
        <v>59660</v>
      </c>
      <c r="G235" s="91">
        <v>68251</v>
      </c>
      <c r="H235" s="91">
        <v>76421</v>
      </c>
    </row>
    <row r="236" spans="1:8" x14ac:dyDescent="0.2">
      <c r="A236" s="90" t="s">
        <v>272</v>
      </c>
      <c r="B236" s="91">
        <v>-4292</v>
      </c>
      <c r="C236" s="91">
        <v>-5647</v>
      </c>
      <c r="D236" s="91">
        <v>58</v>
      </c>
      <c r="E236" s="91">
        <v>25</v>
      </c>
      <c r="F236" s="91">
        <v>-4815</v>
      </c>
      <c r="G236" s="91">
        <v>-6146</v>
      </c>
      <c r="H236" s="91">
        <v>-4791</v>
      </c>
    </row>
    <row r="237" spans="1:8" x14ac:dyDescent="0.2">
      <c r="A237" s="90" t="s">
        <v>273</v>
      </c>
      <c r="B237" s="91">
        <v>-393</v>
      </c>
      <c r="C237" s="91">
        <v>194</v>
      </c>
      <c r="D237" s="91">
        <v>-41</v>
      </c>
      <c r="E237" s="91">
        <v>29</v>
      </c>
      <c r="F237" s="91">
        <v>175</v>
      </c>
      <c r="G237" s="91">
        <v>564</v>
      </c>
      <c r="H237" s="91">
        <v>432</v>
      </c>
    </row>
    <row r="238" spans="1:8" x14ac:dyDescent="0.2">
      <c r="A238" s="90" t="s">
        <v>274</v>
      </c>
      <c r="B238" s="91">
        <v>-458</v>
      </c>
      <c r="C238" s="91">
        <v>-1010</v>
      </c>
      <c r="D238" s="91">
        <v>-6</v>
      </c>
      <c r="E238" s="91">
        <v>-204</v>
      </c>
      <c r="F238" s="91">
        <v>-1062</v>
      </c>
      <c r="G238" s="91">
        <v>-477</v>
      </c>
      <c r="H238" s="91">
        <v>-379</v>
      </c>
    </row>
    <row r="239" spans="1:8" x14ac:dyDescent="0.2">
      <c r="A239" s="90" t="s">
        <v>275</v>
      </c>
      <c r="B239" s="91">
        <v>19764</v>
      </c>
      <c r="C239" s="91">
        <v>4718</v>
      </c>
      <c r="D239" s="91">
        <v>3537</v>
      </c>
      <c r="E239" s="91">
        <v>3285</v>
      </c>
      <c r="F239" s="91">
        <v>8329</v>
      </c>
      <c r="G239" s="91">
        <v>14009</v>
      </c>
      <c r="H239" s="91">
        <v>12165</v>
      </c>
    </row>
    <row r="240" spans="1:8" x14ac:dyDescent="0.2">
      <c r="A240" s="90" t="s">
        <v>276</v>
      </c>
      <c r="B240" s="91">
        <v>4348</v>
      </c>
      <c r="C240" s="91">
        <v>5531</v>
      </c>
      <c r="D240" s="91">
        <v>4444</v>
      </c>
      <c r="E240" s="91">
        <v>5467</v>
      </c>
      <c r="F240" s="91">
        <v>6672</v>
      </c>
      <c r="G240" s="91">
        <v>6678</v>
      </c>
      <c r="H240" s="91">
        <v>9858</v>
      </c>
    </row>
    <row r="241" spans="1:8" x14ac:dyDescent="0.2">
      <c r="A241" s="90" t="s">
        <v>277</v>
      </c>
      <c r="B241" s="91">
        <v>934</v>
      </c>
      <c r="C241" s="91">
        <v>662</v>
      </c>
      <c r="D241" s="91">
        <v>763</v>
      </c>
      <c r="E241" s="91">
        <v>1229</v>
      </c>
      <c r="F241" s="91">
        <v>1679</v>
      </c>
      <c r="G241" s="91">
        <v>2322</v>
      </c>
      <c r="H241" s="91">
        <v>2366</v>
      </c>
    </row>
    <row r="242" spans="1:8" x14ac:dyDescent="0.2">
      <c r="A242" s="90" t="s">
        <v>278</v>
      </c>
      <c r="B242" s="91">
        <v>0</v>
      </c>
      <c r="C242" s="91">
        <v>0</v>
      </c>
      <c r="D242" s="91">
        <v>0</v>
      </c>
      <c r="E242" s="91">
        <v>0</v>
      </c>
      <c r="F242" s="91">
        <v>0</v>
      </c>
      <c r="G242" s="91">
        <v>0</v>
      </c>
      <c r="H242" s="91">
        <v>0</v>
      </c>
    </row>
    <row r="243" spans="1:8" x14ac:dyDescent="0.2">
      <c r="A243" s="90" t="s">
        <v>141</v>
      </c>
      <c r="B243" s="91">
        <v>19903</v>
      </c>
      <c r="C243" s="91">
        <v>4448</v>
      </c>
      <c r="D243" s="91">
        <v>8755</v>
      </c>
      <c r="E243" s="91">
        <v>9831</v>
      </c>
      <c r="F243" s="91">
        <v>10978</v>
      </c>
      <c r="G243" s="91">
        <v>16950</v>
      </c>
      <c r="H243" s="91">
        <v>19651</v>
      </c>
    </row>
    <row r="244" spans="1:8" x14ac:dyDescent="0.2">
      <c r="A244" s="88" t="s">
        <v>279</v>
      </c>
    </row>
    <row r="245" spans="1:8" x14ac:dyDescent="0.2">
      <c r="A245" s="90" t="s">
        <v>280</v>
      </c>
      <c r="B245" s="90" t="s">
        <v>83</v>
      </c>
      <c r="C245" s="90" t="s">
        <v>83</v>
      </c>
      <c r="D245" s="90" t="s">
        <v>83</v>
      </c>
      <c r="E245" s="90" t="s">
        <v>83</v>
      </c>
      <c r="F245" s="90" t="s">
        <v>83</v>
      </c>
      <c r="G245" s="90" t="s">
        <v>83</v>
      </c>
      <c r="H245" s="90" t="s">
        <v>83</v>
      </c>
    </row>
    <row r="246" spans="1:8" x14ac:dyDescent="0.2">
      <c r="A246" s="90" t="s">
        <v>281</v>
      </c>
      <c r="B246" s="90" t="s">
        <v>83</v>
      </c>
      <c r="C246" s="90" t="s">
        <v>83</v>
      </c>
      <c r="D246" s="90" t="s">
        <v>83</v>
      </c>
      <c r="E246" s="90" t="s">
        <v>83</v>
      </c>
      <c r="F246" s="90" t="s">
        <v>83</v>
      </c>
      <c r="G246" s="90" t="s">
        <v>83</v>
      </c>
      <c r="H246" s="90" t="s">
        <v>83</v>
      </c>
    </row>
    <row r="247" spans="1:8" x14ac:dyDescent="0.2">
      <c r="A247" s="90" t="s">
        <v>282</v>
      </c>
      <c r="B247" s="90" t="s">
        <v>83</v>
      </c>
      <c r="C247" s="90" t="s">
        <v>83</v>
      </c>
      <c r="D247" s="90" t="s">
        <v>83</v>
      </c>
      <c r="E247" s="90" t="s">
        <v>83</v>
      </c>
      <c r="F247" s="90" t="s">
        <v>83</v>
      </c>
      <c r="G247" s="90" t="s">
        <v>83</v>
      </c>
      <c r="H247" s="90" t="s">
        <v>83</v>
      </c>
    </row>
    <row r="248" spans="1:8" x14ac:dyDescent="0.2">
      <c r="A248" s="90" t="s">
        <v>283</v>
      </c>
      <c r="B248" s="90" t="s">
        <v>83</v>
      </c>
      <c r="C248" s="90" t="s">
        <v>83</v>
      </c>
      <c r="D248" s="90" t="s">
        <v>83</v>
      </c>
      <c r="E248" s="90" t="s">
        <v>83</v>
      </c>
      <c r="F248" s="90" t="s">
        <v>83</v>
      </c>
      <c r="G248" s="90" t="s">
        <v>83</v>
      </c>
      <c r="H248" s="90" t="s">
        <v>83</v>
      </c>
    </row>
    <row r="249" spans="1:8" x14ac:dyDescent="0.2">
      <c r="A249" s="90" t="s">
        <v>284</v>
      </c>
      <c r="B249" s="90" t="s">
        <v>83</v>
      </c>
      <c r="C249" s="90" t="s">
        <v>83</v>
      </c>
      <c r="D249" s="90" t="s">
        <v>83</v>
      </c>
      <c r="E249" s="90" t="s">
        <v>83</v>
      </c>
      <c r="F249" s="90" t="s">
        <v>83</v>
      </c>
      <c r="G249" s="90" t="s">
        <v>83</v>
      </c>
      <c r="H249" s="90" t="s">
        <v>83</v>
      </c>
    </row>
    <row r="250" spans="1:8" x14ac:dyDescent="0.2">
      <c r="A250" s="88"/>
    </row>
    <row r="251" spans="1:8" x14ac:dyDescent="0.2">
      <c r="A251" s="89" t="s">
        <v>331</v>
      </c>
    </row>
    <row r="252" spans="1:8" x14ac:dyDescent="0.2">
      <c r="A252" s="90" t="s">
        <v>285</v>
      </c>
      <c r="B252" s="91">
        <v>133768</v>
      </c>
      <c r="C252" s="91">
        <v>133819</v>
      </c>
      <c r="D252" s="91">
        <v>136527</v>
      </c>
      <c r="E252" s="91">
        <v>130334</v>
      </c>
      <c r="F252" s="91">
        <v>104757</v>
      </c>
      <c r="G252" s="91">
        <v>111262</v>
      </c>
      <c r="H252" s="91">
        <v>75543</v>
      </c>
    </row>
    <row r="253" spans="1:8" x14ac:dyDescent="0.2">
      <c r="A253" s="90" t="s">
        <v>250</v>
      </c>
      <c r="B253" s="91">
        <v>26481</v>
      </c>
      <c r="C253" s="91">
        <v>29524</v>
      </c>
      <c r="D253" s="91">
        <v>32011</v>
      </c>
      <c r="E253" s="91">
        <v>38043</v>
      </c>
      <c r="F253" s="91">
        <v>50361</v>
      </c>
      <c r="G253" s="91">
        <v>57888</v>
      </c>
      <c r="H253" s="91">
        <v>67424</v>
      </c>
    </row>
    <row r="254" spans="1:8" x14ac:dyDescent="0.2">
      <c r="A254" s="90" t="s">
        <v>66</v>
      </c>
      <c r="B254" s="91">
        <v>2662</v>
      </c>
      <c r="C254" s="91">
        <v>2063</v>
      </c>
      <c r="D254" s="91">
        <v>1895</v>
      </c>
      <c r="E254" s="91">
        <v>2636</v>
      </c>
      <c r="F254" s="91">
        <v>3742</v>
      </c>
      <c r="G254" s="91">
        <v>2500</v>
      </c>
      <c r="H254" s="91">
        <v>1246</v>
      </c>
    </row>
    <row r="255" spans="1:8" x14ac:dyDescent="0.2">
      <c r="A255" s="90" t="s">
        <v>286</v>
      </c>
      <c r="B255" s="91">
        <v>0</v>
      </c>
      <c r="C255" s="91">
        <v>0</v>
      </c>
      <c r="D255" s="91">
        <v>0</v>
      </c>
      <c r="E255" s="91">
        <v>0</v>
      </c>
      <c r="F255" s="91">
        <v>0</v>
      </c>
      <c r="G255" s="91">
        <v>0</v>
      </c>
      <c r="H255" s="91">
        <v>0</v>
      </c>
    </row>
    <row r="256" spans="1:8" x14ac:dyDescent="0.2">
      <c r="A256" s="90" t="s">
        <v>71</v>
      </c>
      <c r="B256" s="91">
        <v>6751</v>
      </c>
      <c r="C256" s="91">
        <v>10146</v>
      </c>
      <c r="D256" s="91">
        <v>11482</v>
      </c>
      <c r="E256" s="91">
        <v>13393</v>
      </c>
      <c r="F256" s="91">
        <v>10824</v>
      </c>
      <c r="G256" s="91">
        <v>12607</v>
      </c>
      <c r="H256" s="91">
        <v>15521</v>
      </c>
    </row>
    <row r="257" spans="1:8" x14ac:dyDescent="0.2">
      <c r="A257" s="90" t="s">
        <v>74</v>
      </c>
      <c r="B257" s="91">
        <v>169662</v>
      </c>
      <c r="C257" s="91">
        <v>175552</v>
      </c>
      <c r="D257" s="91">
        <v>181915</v>
      </c>
      <c r="E257" s="91">
        <v>184406</v>
      </c>
      <c r="F257" s="91">
        <v>169684</v>
      </c>
      <c r="G257" s="91">
        <v>184257</v>
      </c>
      <c r="H257" s="91">
        <v>159734</v>
      </c>
    </row>
    <row r="258" spans="1:8" x14ac:dyDescent="0.2">
      <c r="A258" s="90" t="s">
        <v>287</v>
      </c>
      <c r="B258" s="91">
        <v>65369</v>
      </c>
      <c r="C258" s="91">
        <v>79186</v>
      </c>
      <c r="D258" s="91">
        <v>96101</v>
      </c>
      <c r="E258" s="91">
        <v>122154</v>
      </c>
      <c r="F258" s="91">
        <v>147206</v>
      </c>
      <c r="G258" s="91">
        <v>178238</v>
      </c>
      <c r="H258" s="91">
        <v>230973</v>
      </c>
    </row>
    <row r="259" spans="1:8" x14ac:dyDescent="0.2">
      <c r="A259" s="90" t="s">
        <v>288</v>
      </c>
      <c r="B259" s="91">
        <v>29223</v>
      </c>
      <c r="C259" s="91">
        <v>35330</v>
      </c>
      <c r="D259" s="91">
        <v>43197</v>
      </c>
      <c r="E259" s="91">
        <v>51351</v>
      </c>
      <c r="F259" s="91">
        <v>59660</v>
      </c>
      <c r="G259" s="91">
        <v>68251</v>
      </c>
      <c r="H259" s="91">
        <v>76421</v>
      </c>
    </row>
    <row r="260" spans="1:8" x14ac:dyDescent="0.2">
      <c r="A260" s="90" t="s">
        <v>289</v>
      </c>
      <c r="B260" s="91">
        <v>36146</v>
      </c>
      <c r="C260" s="91">
        <v>43856</v>
      </c>
      <c r="D260" s="91">
        <v>52904</v>
      </c>
      <c r="E260" s="91">
        <v>70803</v>
      </c>
      <c r="F260" s="91">
        <v>87546</v>
      </c>
      <c r="G260" s="91">
        <v>109987</v>
      </c>
      <c r="H260" s="91">
        <v>154552</v>
      </c>
    </row>
    <row r="261" spans="1:8" x14ac:dyDescent="0.2">
      <c r="A261" s="90" t="s">
        <v>290</v>
      </c>
      <c r="B261" s="90" t="s">
        <v>83</v>
      </c>
      <c r="C261" s="90" t="s">
        <v>83</v>
      </c>
      <c r="D261" s="90" t="s">
        <v>83</v>
      </c>
      <c r="E261" s="90" t="s">
        <v>83</v>
      </c>
      <c r="F261" s="90" t="s">
        <v>83</v>
      </c>
      <c r="G261" s="90" t="s">
        <v>83</v>
      </c>
      <c r="H261" s="91">
        <v>6000</v>
      </c>
    </row>
    <row r="262" spans="1:8" x14ac:dyDescent="0.2">
      <c r="A262" s="90" t="s">
        <v>291</v>
      </c>
      <c r="B262" s="91">
        <v>3662</v>
      </c>
      <c r="C262" s="91">
        <v>4849</v>
      </c>
      <c r="D262" s="91">
        <v>5665</v>
      </c>
      <c r="E262" s="91">
        <v>9384</v>
      </c>
      <c r="F262" s="91">
        <v>10691</v>
      </c>
      <c r="G262" s="91">
        <v>14379</v>
      </c>
      <c r="H262" s="91">
        <v>13500</v>
      </c>
    </row>
    <row r="263" spans="1:8" x14ac:dyDescent="0.2">
      <c r="A263" s="90" t="s">
        <v>80</v>
      </c>
      <c r="B263" s="91">
        <v>43736</v>
      </c>
      <c r="C263" s="91">
        <v>49776</v>
      </c>
      <c r="D263" s="91">
        <v>50389</v>
      </c>
      <c r="E263" s="91">
        <v>57511</v>
      </c>
      <c r="F263" s="91">
        <v>78822</v>
      </c>
      <c r="G263" s="91">
        <v>77252</v>
      </c>
      <c r="H263" s="91">
        <v>146817</v>
      </c>
    </row>
    <row r="264" spans="1:8" x14ac:dyDescent="0.2">
      <c r="A264" s="90" t="s">
        <v>292</v>
      </c>
      <c r="B264" s="91">
        <v>0</v>
      </c>
      <c r="C264" s="91">
        <v>0</v>
      </c>
      <c r="D264" s="91">
        <v>0</v>
      </c>
      <c r="E264" s="91">
        <v>0</v>
      </c>
      <c r="F264" s="91">
        <v>0</v>
      </c>
      <c r="G264" s="91">
        <v>0</v>
      </c>
      <c r="H264" s="91">
        <v>0</v>
      </c>
    </row>
    <row r="265" spans="1:8" x14ac:dyDescent="0.2">
      <c r="A265" s="90" t="s">
        <v>81</v>
      </c>
      <c r="B265" s="91">
        <v>5642</v>
      </c>
      <c r="C265" s="91">
        <v>12523</v>
      </c>
      <c r="D265" s="91">
        <v>10438</v>
      </c>
      <c r="E265" s="91">
        <v>11675</v>
      </c>
      <c r="F265" s="91">
        <v>18097</v>
      </c>
      <c r="G265" s="91">
        <v>26101</v>
      </c>
      <c r="H265" s="91">
        <v>31560</v>
      </c>
    </row>
    <row r="266" spans="1:8" x14ac:dyDescent="0.2">
      <c r="A266" s="90" t="s">
        <v>293</v>
      </c>
      <c r="B266" s="91">
        <v>258848</v>
      </c>
      <c r="C266" s="91">
        <v>286556</v>
      </c>
      <c r="D266" s="91">
        <v>301311</v>
      </c>
      <c r="E266" s="91">
        <v>333779</v>
      </c>
      <c r="F266" s="91">
        <v>364840</v>
      </c>
      <c r="G266" s="91">
        <v>411976</v>
      </c>
      <c r="H266" s="91">
        <v>512163</v>
      </c>
    </row>
    <row r="267" spans="1:8" x14ac:dyDescent="0.2">
      <c r="A267" s="90" t="s">
        <v>90</v>
      </c>
      <c r="B267" s="91">
        <v>8617</v>
      </c>
      <c r="C267" s="91">
        <v>9382</v>
      </c>
      <c r="D267" s="91">
        <v>12530</v>
      </c>
      <c r="E267" s="91">
        <v>15163</v>
      </c>
      <c r="F267" s="91">
        <v>19000</v>
      </c>
      <c r="G267" s="91">
        <v>18095</v>
      </c>
      <c r="H267" s="91">
        <v>21996</v>
      </c>
    </row>
    <row r="268" spans="1:8" x14ac:dyDescent="0.2">
      <c r="A268" s="90" t="s">
        <v>294</v>
      </c>
      <c r="B268" s="91">
        <v>0</v>
      </c>
      <c r="C268" s="91">
        <v>0</v>
      </c>
      <c r="D268" s="91">
        <v>0</v>
      </c>
      <c r="E268" s="91">
        <v>0</v>
      </c>
      <c r="F268" s="91">
        <v>0</v>
      </c>
      <c r="G268" s="91">
        <v>0</v>
      </c>
      <c r="H268" s="91">
        <v>6693</v>
      </c>
    </row>
    <row r="269" spans="1:8" x14ac:dyDescent="0.2">
      <c r="A269" s="90" t="s">
        <v>295</v>
      </c>
      <c r="B269" s="91">
        <v>6103</v>
      </c>
      <c r="C269" s="91">
        <v>6830</v>
      </c>
      <c r="D269" s="91">
        <v>7874</v>
      </c>
      <c r="E269" s="91">
        <v>10057</v>
      </c>
      <c r="F269" s="91">
        <v>10661</v>
      </c>
      <c r="G269" s="91">
        <v>11009</v>
      </c>
      <c r="H269" s="91">
        <v>12564</v>
      </c>
    </row>
    <row r="270" spans="1:8" x14ac:dyDescent="0.2">
      <c r="A270" s="90" t="s">
        <v>296</v>
      </c>
      <c r="B270" s="91">
        <v>2121</v>
      </c>
      <c r="C270" s="91">
        <v>5665</v>
      </c>
      <c r="D270" s="91">
        <v>2130</v>
      </c>
      <c r="E270" s="91">
        <v>2174</v>
      </c>
      <c r="F270" s="91">
        <v>4067</v>
      </c>
      <c r="G270" s="91">
        <v>4152</v>
      </c>
      <c r="H270" s="91">
        <v>5017</v>
      </c>
    </row>
    <row r="271" spans="1:8" x14ac:dyDescent="0.2">
      <c r="A271" s="90" t="s">
        <v>297</v>
      </c>
      <c r="B271" s="91">
        <v>5573</v>
      </c>
      <c r="C271" s="91">
        <v>7348</v>
      </c>
      <c r="D271" s="91">
        <v>5905</v>
      </c>
      <c r="E271" s="91">
        <v>10825</v>
      </c>
      <c r="F271" s="91">
        <v>6037</v>
      </c>
      <c r="G271" s="91">
        <v>8853</v>
      </c>
      <c r="H271" s="91">
        <v>8178</v>
      </c>
    </row>
    <row r="272" spans="1:8" x14ac:dyDescent="0.2">
      <c r="A272" s="90" t="s">
        <v>298</v>
      </c>
      <c r="B272" s="91">
        <v>42177</v>
      </c>
      <c r="C272" s="91">
        <v>47025</v>
      </c>
      <c r="D272" s="91">
        <v>51745</v>
      </c>
      <c r="E272" s="91">
        <v>60495</v>
      </c>
      <c r="F272" s="91">
        <v>65978</v>
      </c>
      <c r="G272" s="91">
        <v>73049</v>
      </c>
      <c r="H272" s="91">
        <v>83402</v>
      </c>
    </row>
    <row r="273" spans="1:8" x14ac:dyDescent="0.2">
      <c r="A273" s="90" t="s">
        <v>299</v>
      </c>
      <c r="B273" s="91">
        <v>58488</v>
      </c>
      <c r="C273" s="91">
        <v>69420</v>
      </c>
      <c r="D273" s="91">
        <v>72310</v>
      </c>
      <c r="E273" s="91">
        <v>88657</v>
      </c>
      <c r="F273" s="91">
        <v>95082</v>
      </c>
      <c r="G273" s="91">
        <v>104149</v>
      </c>
      <c r="H273" s="91">
        <v>125286</v>
      </c>
    </row>
    <row r="274" spans="1:8" x14ac:dyDescent="0.2">
      <c r="A274" s="90" t="s">
        <v>300</v>
      </c>
      <c r="B274" s="91">
        <v>81935</v>
      </c>
      <c r="C274" s="91">
        <v>79107</v>
      </c>
      <c r="D274" s="91">
        <v>76205</v>
      </c>
      <c r="E274" s="91">
        <v>71453</v>
      </c>
      <c r="F274" s="91">
        <v>72363</v>
      </c>
      <c r="G274" s="91">
        <v>70588</v>
      </c>
      <c r="H274" s="91">
        <v>82981</v>
      </c>
    </row>
    <row r="275" spans="1:8" x14ac:dyDescent="0.2">
      <c r="A275" s="90" t="s">
        <v>301</v>
      </c>
      <c r="B275" s="91">
        <v>541</v>
      </c>
      <c r="C275" s="91">
        <v>233</v>
      </c>
      <c r="D275" s="91">
        <v>204</v>
      </c>
      <c r="E275" s="91">
        <v>198</v>
      </c>
      <c r="F275" s="91">
        <v>230</v>
      </c>
      <c r="G275" s="91">
        <v>433</v>
      </c>
      <c r="H275" s="91">
        <v>2618</v>
      </c>
    </row>
    <row r="276" spans="1:8" x14ac:dyDescent="0.2">
      <c r="A276" s="90" t="s">
        <v>222</v>
      </c>
      <c r="B276" s="91">
        <v>0</v>
      </c>
      <c r="C276" s="91">
        <v>0</v>
      </c>
      <c r="D276" s="91">
        <v>0</v>
      </c>
      <c r="E276" s="91">
        <v>0</v>
      </c>
      <c r="F276" s="91">
        <v>0</v>
      </c>
      <c r="G276" s="91">
        <v>0</v>
      </c>
      <c r="H276" s="91">
        <v>0</v>
      </c>
    </row>
    <row r="277" spans="1:8" x14ac:dyDescent="0.2">
      <c r="A277" s="90" t="s">
        <v>105</v>
      </c>
      <c r="B277" s="91">
        <v>35166</v>
      </c>
      <c r="C277" s="91">
        <v>35466</v>
      </c>
      <c r="D277" s="91">
        <v>34288</v>
      </c>
      <c r="E277" s="91">
        <v>31483</v>
      </c>
      <c r="F277" s="91">
        <v>30623</v>
      </c>
      <c r="G277" s="91">
        <v>30583</v>
      </c>
      <c r="H277" s="91">
        <v>32801</v>
      </c>
    </row>
    <row r="278" spans="1:8" x14ac:dyDescent="0.2">
      <c r="A278" s="90" t="s">
        <v>302</v>
      </c>
      <c r="B278" s="91">
        <v>176130</v>
      </c>
      <c r="C278" s="91">
        <v>184226</v>
      </c>
      <c r="D278" s="91">
        <v>183007</v>
      </c>
      <c r="E278" s="91">
        <v>191791</v>
      </c>
      <c r="F278" s="91">
        <v>198298</v>
      </c>
      <c r="G278" s="91">
        <v>205753</v>
      </c>
      <c r="H278" s="91">
        <v>243686</v>
      </c>
    </row>
    <row r="279" spans="1:8" x14ac:dyDescent="0.2">
      <c r="A279" s="90" t="s">
        <v>109</v>
      </c>
      <c r="B279" s="91">
        <v>0</v>
      </c>
      <c r="C279" s="91">
        <v>0</v>
      </c>
      <c r="D279" s="91">
        <v>0</v>
      </c>
      <c r="E279" s="91">
        <v>0</v>
      </c>
      <c r="F279" s="91">
        <v>0</v>
      </c>
      <c r="G279" s="91">
        <v>0</v>
      </c>
      <c r="H279" s="91">
        <v>0</v>
      </c>
    </row>
    <row r="280" spans="1:8" x14ac:dyDescent="0.2">
      <c r="A280" s="90" t="s">
        <v>281</v>
      </c>
      <c r="B280" s="91">
        <v>0</v>
      </c>
      <c r="C280" s="91">
        <v>0</v>
      </c>
      <c r="D280" s="91">
        <v>0</v>
      </c>
      <c r="E280" s="91">
        <v>0</v>
      </c>
      <c r="F280" s="91">
        <v>0</v>
      </c>
      <c r="G280" s="91">
        <v>0</v>
      </c>
      <c r="H280" s="91">
        <v>0</v>
      </c>
    </row>
    <row r="281" spans="1:8" x14ac:dyDescent="0.2">
      <c r="A281" s="90" t="s">
        <v>303</v>
      </c>
      <c r="B281" s="91">
        <v>4.8000000000000001E-2</v>
      </c>
      <c r="C281" s="91">
        <v>4.8000000000000001E-2</v>
      </c>
      <c r="D281" s="91">
        <v>4.7E-2</v>
      </c>
      <c r="E281" s="91">
        <v>4.7E-2</v>
      </c>
      <c r="F281" s="91">
        <v>4.7E-2</v>
      </c>
      <c r="G281" s="91">
        <v>4.5999999999999999E-2</v>
      </c>
      <c r="H281" s="91">
        <v>4.5999999999999999E-2</v>
      </c>
    </row>
    <row r="282" spans="1:8" x14ac:dyDescent="0.2">
      <c r="A282" s="90" t="s">
        <v>304</v>
      </c>
      <c r="B282" s="91">
        <v>71222.952000000005</v>
      </c>
      <c r="C282" s="91">
        <v>78519.952000000005</v>
      </c>
      <c r="D282" s="91">
        <v>80551.952999999994</v>
      </c>
      <c r="E282" s="91">
        <v>83110.952999999994</v>
      </c>
      <c r="F282" s="91">
        <v>86938.952999999994</v>
      </c>
      <c r="G282" s="91">
        <v>93717.953999999998</v>
      </c>
      <c r="H282" s="91">
        <v>100922.954</v>
      </c>
    </row>
    <row r="283" spans="1:8" x14ac:dyDescent="0.2">
      <c r="A283" s="90" t="s">
        <v>305</v>
      </c>
      <c r="B283" s="91">
        <v>11495</v>
      </c>
      <c r="C283" s="91">
        <v>23810</v>
      </c>
      <c r="D283" s="91">
        <v>37752</v>
      </c>
      <c r="E283" s="91">
        <v>58877</v>
      </c>
      <c r="F283" s="91">
        <v>79603</v>
      </c>
      <c r="G283" s="91">
        <v>112505</v>
      </c>
      <c r="H283" s="91">
        <v>167554</v>
      </c>
    </row>
    <row r="284" spans="1:8" x14ac:dyDescent="0.2">
      <c r="A284" s="90" t="s">
        <v>306</v>
      </c>
      <c r="B284" s="91">
        <v>0</v>
      </c>
      <c r="C284" s="91">
        <v>0</v>
      </c>
      <c r="D284" s="91">
        <v>0</v>
      </c>
      <c r="E284" s="91">
        <v>0</v>
      </c>
      <c r="F284" s="91">
        <v>0</v>
      </c>
      <c r="G284" s="91">
        <v>0</v>
      </c>
      <c r="H284" s="91">
        <v>0</v>
      </c>
    </row>
    <row r="285" spans="1:8" x14ac:dyDescent="0.2">
      <c r="A285" s="90" t="s">
        <v>120</v>
      </c>
      <c r="B285" s="91">
        <v>82718</v>
      </c>
      <c r="C285" s="91">
        <v>102330</v>
      </c>
      <c r="D285" s="91">
        <v>118304</v>
      </c>
      <c r="E285" s="91">
        <v>141988</v>
      </c>
      <c r="F285" s="91">
        <v>166542</v>
      </c>
      <c r="G285" s="91">
        <v>206223</v>
      </c>
      <c r="H285" s="91">
        <v>268477</v>
      </c>
    </row>
    <row r="286" spans="1:8" x14ac:dyDescent="0.2">
      <c r="A286" s="90" t="s">
        <v>121</v>
      </c>
      <c r="B286" s="91">
        <v>0</v>
      </c>
      <c r="C286" s="91">
        <v>0</v>
      </c>
      <c r="D286" s="91">
        <v>0</v>
      </c>
      <c r="E286" s="91">
        <v>0</v>
      </c>
      <c r="F286" s="91">
        <v>0</v>
      </c>
      <c r="G286" s="91">
        <v>0</v>
      </c>
      <c r="H286" s="91">
        <v>0</v>
      </c>
    </row>
    <row r="287" spans="1:8" x14ac:dyDescent="0.2">
      <c r="A287" s="90" t="s">
        <v>307</v>
      </c>
      <c r="B287" s="91">
        <v>82718</v>
      </c>
      <c r="C287" s="91">
        <v>102330</v>
      </c>
      <c r="D287" s="91">
        <v>118304</v>
      </c>
      <c r="E287" s="91">
        <v>141988</v>
      </c>
      <c r="F287" s="91">
        <v>166542</v>
      </c>
      <c r="G287" s="91">
        <v>206223</v>
      </c>
      <c r="H287" s="91">
        <v>268477</v>
      </c>
    </row>
    <row r="288" spans="1:8" x14ac:dyDescent="0.2">
      <c r="A288" s="90" t="s">
        <v>124</v>
      </c>
      <c r="B288" s="91">
        <v>110360</v>
      </c>
      <c r="C288" s="91">
        <v>125843</v>
      </c>
      <c r="D288" s="91">
        <v>143015</v>
      </c>
      <c r="E288" s="91">
        <v>168088</v>
      </c>
      <c r="F288" s="91">
        <v>198270</v>
      </c>
      <c r="G288" s="91">
        <v>211915</v>
      </c>
      <c r="H288" s="91">
        <v>245122</v>
      </c>
    </row>
    <row r="289" spans="1:8" x14ac:dyDescent="0.2">
      <c r="A289" s="90" t="s">
        <v>125</v>
      </c>
      <c r="B289" s="91">
        <v>28453</v>
      </c>
      <c r="C289" s="91">
        <v>31310</v>
      </c>
      <c r="D289" s="91">
        <v>33778</v>
      </c>
      <c r="E289" s="91">
        <v>41332</v>
      </c>
      <c r="F289" s="91">
        <v>48050</v>
      </c>
      <c r="G289" s="91">
        <v>52211</v>
      </c>
      <c r="H289" s="91">
        <v>54114</v>
      </c>
    </row>
    <row r="290" spans="1:8" x14ac:dyDescent="0.2">
      <c r="A290" s="90" t="s">
        <v>308</v>
      </c>
      <c r="B290" s="91">
        <v>0</v>
      </c>
      <c r="C290" s="91">
        <v>0</v>
      </c>
      <c r="D290" s="91">
        <v>0</v>
      </c>
      <c r="E290" s="91">
        <v>0</v>
      </c>
      <c r="F290" s="91">
        <v>0</v>
      </c>
      <c r="G290" s="91">
        <v>0</v>
      </c>
      <c r="H290" s="91">
        <v>0</v>
      </c>
    </row>
    <row r="291" spans="1:8" x14ac:dyDescent="0.2">
      <c r="A291" s="90" t="s">
        <v>309</v>
      </c>
      <c r="B291" s="91">
        <v>36949</v>
      </c>
      <c r="C291" s="91">
        <v>39974</v>
      </c>
      <c r="D291" s="91">
        <v>43978</v>
      </c>
      <c r="E291" s="91">
        <v>45940</v>
      </c>
      <c r="F291" s="91">
        <v>52111</v>
      </c>
      <c r="G291" s="91">
        <v>56510</v>
      </c>
      <c r="H291" s="91">
        <v>61575</v>
      </c>
    </row>
    <row r="292" spans="1:8" x14ac:dyDescent="0.2">
      <c r="A292" s="90" t="s">
        <v>127</v>
      </c>
      <c r="B292" s="91">
        <v>44958</v>
      </c>
      <c r="C292" s="91">
        <v>54559</v>
      </c>
      <c r="D292" s="91">
        <v>65259</v>
      </c>
      <c r="E292" s="91">
        <v>80816</v>
      </c>
      <c r="F292" s="91">
        <v>98109</v>
      </c>
      <c r="G292" s="91">
        <v>103194</v>
      </c>
      <c r="H292" s="91">
        <v>129433</v>
      </c>
    </row>
    <row r="293" spans="1:8" x14ac:dyDescent="0.2">
      <c r="A293" s="90" t="s">
        <v>310</v>
      </c>
      <c r="B293" s="91">
        <v>9900</v>
      </c>
      <c r="C293" s="91">
        <v>11600</v>
      </c>
      <c r="D293" s="91">
        <v>12300</v>
      </c>
      <c r="E293" s="91">
        <v>10900</v>
      </c>
      <c r="F293" s="91">
        <v>14600</v>
      </c>
      <c r="G293" s="91">
        <v>13500</v>
      </c>
      <c r="H293" s="91">
        <v>20000</v>
      </c>
    </row>
    <row r="294" spans="1:8" x14ac:dyDescent="0.2">
      <c r="A294" s="90" t="s">
        <v>132</v>
      </c>
      <c r="B294" s="91">
        <v>35058</v>
      </c>
      <c r="C294" s="91">
        <v>42959</v>
      </c>
      <c r="D294" s="91">
        <v>52959</v>
      </c>
      <c r="E294" s="91">
        <v>69916</v>
      </c>
      <c r="F294" s="91">
        <v>83509</v>
      </c>
      <c r="G294" s="91">
        <v>89694</v>
      </c>
      <c r="H294" s="91">
        <v>109433</v>
      </c>
    </row>
    <row r="295" spans="1:8" x14ac:dyDescent="0.2">
      <c r="A295" s="90" t="s">
        <v>133</v>
      </c>
      <c r="B295" s="91">
        <v>2733</v>
      </c>
      <c r="C295" s="91">
        <v>2686</v>
      </c>
      <c r="D295" s="91">
        <v>2591</v>
      </c>
      <c r="E295" s="91">
        <v>2330</v>
      </c>
      <c r="F295" s="91">
        <v>2047</v>
      </c>
      <c r="G295" s="91">
        <v>1995</v>
      </c>
      <c r="H295" s="91">
        <v>2983</v>
      </c>
    </row>
    <row r="296" spans="1:8" x14ac:dyDescent="0.2">
      <c r="A296" s="90" t="s">
        <v>311</v>
      </c>
      <c r="B296" s="91">
        <v>4149</v>
      </c>
      <c r="C296" s="91">
        <v>3415</v>
      </c>
      <c r="D296" s="91">
        <v>2668</v>
      </c>
      <c r="E296" s="91">
        <v>3516</v>
      </c>
      <c r="F296" s="91">
        <v>2380</v>
      </c>
      <c r="G296" s="91">
        <v>2783</v>
      </c>
      <c r="H296" s="91">
        <v>1337</v>
      </c>
    </row>
    <row r="297" spans="1:8" x14ac:dyDescent="0.2">
      <c r="A297" s="90" t="s">
        <v>137</v>
      </c>
      <c r="B297" s="91">
        <v>0</v>
      </c>
      <c r="C297" s="91">
        <v>0</v>
      </c>
      <c r="D297" s="91">
        <v>0</v>
      </c>
      <c r="E297" s="90" t="s">
        <v>83</v>
      </c>
      <c r="F297" s="91">
        <v>-126</v>
      </c>
      <c r="G297" s="91">
        <v>-1171</v>
      </c>
      <c r="H297" s="91">
        <v>0</v>
      </c>
    </row>
    <row r="298" spans="1:8" x14ac:dyDescent="0.2">
      <c r="A298" s="90" t="s">
        <v>138</v>
      </c>
      <c r="B298" s="91">
        <v>36474</v>
      </c>
      <c r="C298" s="91">
        <v>43688</v>
      </c>
      <c r="D298" s="91">
        <v>53036</v>
      </c>
      <c r="E298" s="91">
        <v>71102</v>
      </c>
      <c r="F298" s="91">
        <v>83716</v>
      </c>
      <c r="G298" s="91">
        <v>89311</v>
      </c>
      <c r="H298" s="91">
        <v>107787</v>
      </c>
    </row>
    <row r="299" spans="1:8" x14ac:dyDescent="0.2">
      <c r="A299" s="90" t="s">
        <v>141</v>
      </c>
      <c r="B299" s="91">
        <v>19903</v>
      </c>
      <c r="C299" s="91">
        <v>4448</v>
      </c>
      <c r="D299" s="91">
        <v>8755</v>
      </c>
      <c r="E299" s="91">
        <v>9831</v>
      </c>
      <c r="F299" s="91">
        <v>10978</v>
      </c>
      <c r="G299" s="91">
        <v>16950</v>
      </c>
      <c r="H299" s="91">
        <v>19651</v>
      </c>
    </row>
    <row r="300" spans="1:8" x14ac:dyDescent="0.2">
      <c r="A300" s="90" t="s">
        <v>150</v>
      </c>
      <c r="B300" s="91">
        <v>0</v>
      </c>
      <c r="C300" s="91">
        <v>0</v>
      </c>
      <c r="D300" s="91">
        <v>0</v>
      </c>
      <c r="E300" s="91">
        <v>0</v>
      </c>
      <c r="F300" s="91">
        <v>0</v>
      </c>
      <c r="G300" s="91">
        <v>0</v>
      </c>
      <c r="H300" s="91">
        <v>0</v>
      </c>
    </row>
    <row r="301" spans="1:8" x14ac:dyDescent="0.2">
      <c r="A301" s="90" t="s">
        <v>312</v>
      </c>
      <c r="B301" s="91">
        <v>16571</v>
      </c>
      <c r="C301" s="91">
        <v>39240</v>
      </c>
      <c r="D301" s="91">
        <v>44281</v>
      </c>
      <c r="E301" s="91">
        <v>61271</v>
      </c>
      <c r="F301" s="91">
        <v>72738</v>
      </c>
      <c r="G301" s="91">
        <v>72361</v>
      </c>
      <c r="H301" s="91">
        <v>88136</v>
      </c>
    </row>
    <row r="302" spans="1:8" x14ac:dyDescent="0.2">
      <c r="A302" s="90" t="s">
        <v>313</v>
      </c>
      <c r="B302" s="91">
        <v>0</v>
      </c>
      <c r="C302" s="91">
        <v>0</v>
      </c>
      <c r="D302" s="91">
        <v>0</v>
      </c>
      <c r="E302" s="91">
        <v>0</v>
      </c>
      <c r="F302" s="91">
        <v>0</v>
      </c>
      <c r="G302" s="91">
        <v>0</v>
      </c>
      <c r="H302" s="91">
        <v>0</v>
      </c>
    </row>
    <row r="303" spans="1:8" x14ac:dyDescent="0.2">
      <c r="A303" s="90" t="s">
        <v>314</v>
      </c>
      <c r="B303" s="91">
        <v>0</v>
      </c>
      <c r="C303" s="91">
        <v>0</v>
      </c>
      <c r="D303" s="91">
        <v>0</v>
      </c>
      <c r="E303" s="91">
        <v>0</v>
      </c>
      <c r="F303" s="91">
        <v>0</v>
      </c>
      <c r="G303" s="91">
        <v>0</v>
      </c>
      <c r="H303" s="91">
        <v>0</v>
      </c>
    </row>
    <row r="304" spans="1:8" x14ac:dyDescent="0.2">
      <c r="A304" s="90" t="s">
        <v>160</v>
      </c>
      <c r="B304" s="91">
        <v>16571</v>
      </c>
      <c r="C304" s="91">
        <v>39240</v>
      </c>
      <c r="D304" s="91">
        <v>44281</v>
      </c>
      <c r="E304" s="91">
        <v>61271</v>
      </c>
      <c r="F304" s="91">
        <v>72738</v>
      </c>
      <c r="G304" s="91">
        <v>72361</v>
      </c>
      <c r="H304" s="91">
        <v>88136</v>
      </c>
    </row>
    <row r="305" spans="1:8" x14ac:dyDescent="0.2">
      <c r="A305" s="90" t="s">
        <v>315</v>
      </c>
      <c r="B305" s="91">
        <v>0</v>
      </c>
      <c r="C305" s="91">
        <v>0</v>
      </c>
      <c r="D305" s="91">
        <v>0</v>
      </c>
      <c r="E305" s="91">
        <v>0</v>
      </c>
      <c r="F305" s="91">
        <v>0</v>
      </c>
      <c r="G305" s="91">
        <v>0</v>
      </c>
      <c r="H305" s="91">
        <v>0</v>
      </c>
    </row>
    <row r="306" spans="1:8" x14ac:dyDescent="0.2">
      <c r="A306" s="90" t="s">
        <v>316</v>
      </c>
      <c r="B306" s="91">
        <v>2.15</v>
      </c>
      <c r="C306" s="91">
        <v>5.1100000000000003</v>
      </c>
      <c r="D306" s="91">
        <v>5.82</v>
      </c>
      <c r="E306" s="91">
        <v>8.1199999999999992</v>
      </c>
      <c r="F306" s="91">
        <v>9.6999999999999993</v>
      </c>
      <c r="G306" s="91">
        <v>9.7200000000000006</v>
      </c>
      <c r="H306" s="91">
        <v>11.86</v>
      </c>
    </row>
    <row r="307" spans="1:8" x14ac:dyDescent="0.2">
      <c r="A307" s="90" t="s">
        <v>317</v>
      </c>
      <c r="B307" s="91">
        <v>2.15</v>
      </c>
      <c r="C307" s="91">
        <v>5.1100000000000003</v>
      </c>
      <c r="D307" s="91">
        <v>5.82</v>
      </c>
      <c r="E307" s="91">
        <v>8.1199999999999992</v>
      </c>
      <c r="F307" s="91">
        <v>9.6999999999999993</v>
      </c>
      <c r="G307" s="91">
        <v>9.7200000000000006</v>
      </c>
      <c r="H307" s="91">
        <v>11.86</v>
      </c>
    </row>
    <row r="308" spans="1:8" x14ac:dyDescent="0.2">
      <c r="A308" s="90" t="s">
        <v>318</v>
      </c>
      <c r="B308" s="91">
        <v>2.13</v>
      </c>
      <c r="C308" s="91">
        <v>5.0599999999999996</v>
      </c>
      <c r="D308" s="91">
        <v>5.76</v>
      </c>
      <c r="E308" s="91">
        <v>8.0500000000000007</v>
      </c>
      <c r="F308" s="91">
        <v>9.65</v>
      </c>
      <c r="G308" s="91">
        <v>9.68</v>
      </c>
      <c r="H308" s="91">
        <v>11.8</v>
      </c>
    </row>
    <row r="309" spans="1:8" x14ac:dyDescent="0.2">
      <c r="A309" s="90" t="s">
        <v>319</v>
      </c>
      <c r="B309" s="91">
        <v>2.13</v>
      </c>
      <c r="C309" s="91">
        <v>5.0599999999999996</v>
      </c>
      <c r="D309" s="91">
        <v>5.76</v>
      </c>
      <c r="E309" s="91">
        <v>8.0500000000000007</v>
      </c>
      <c r="F309" s="91">
        <v>9.65</v>
      </c>
      <c r="G309" s="91">
        <v>9.68</v>
      </c>
      <c r="H309" s="91">
        <v>11.8</v>
      </c>
    </row>
    <row r="310" spans="1:8" x14ac:dyDescent="0.2">
      <c r="A310" s="90" t="s">
        <v>320</v>
      </c>
      <c r="B310" s="91">
        <v>7700</v>
      </c>
      <c r="C310" s="91">
        <v>7673</v>
      </c>
      <c r="D310" s="91">
        <v>7610</v>
      </c>
      <c r="E310" s="91">
        <v>7547</v>
      </c>
      <c r="F310" s="91">
        <v>7496</v>
      </c>
      <c r="G310" s="91">
        <v>7446</v>
      </c>
      <c r="H310" s="91">
        <v>7431</v>
      </c>
    </row>
    <row r="311" spans="1:8" x14ac:dyDescent="0.2">
      <c r="A311" s="88" t="s">
        <v>321</v>
      </c>
    </row>
    <row r="312" spans="1:8" x14ac:dyDescent="0.2">
      <c r="A312" s="90" t="s">
        <v>322</v>
      </c>
      <c r="B312" s="91">
        <v>7794</v>
      </c>
      <c r="C312" s="91">
        <v>7753</v>
      </c>
      <c r="D312" s="91">
        <v>7683</v>
      </c>
      <c r="E312" s="91">
        <v>7608</v>
      </c>
      <c r="F312" s="91">
        <v>7540</v>
      </c>
      <c r="G312" s="91">
        <v>7472</v>
      </c>
      <c r="H312" s="91">
        <v>7469</v>
      </c>
    </row>
    <row r="313" spans="1:8" x14ac:dyDescent="0.2">
      <c r="A313" s="90" t="s">
        <v>323</v>
      </c>
      <c r="B313" s="91">
        <v>7677</v>
      </c>
      <c r="C313" s="91">
        <v>7643</v>
      </c>
      <c r="D313" s="91">
        <v>7571</v>
      </c>
      <c r="E313" s="91">
        <v>7519</v>
      </c>
      <c r="F313" s="91">
        <v>7464</v>
      </c>
      <c r="G313" s="91">
        <v>7432</v>
      </c>
      <c r="H313" s="91">
        <v>7434</v>
      </c>
    </row>
    <row r="314" spans="1:8" x14ac:dyDescent="0.2">
      <c r="A314" s="90" t="s">
        <v>171</v>
      </c>
      <c r="B314" s="91">
        <v>43884</v>
      </c>
      <c r="C314" s="91">
        <v>52185</v>
      </c>
      <c r="D314" s="91">
        <v>60675</v>
      </c>
      <c r="E314" s="91">
        <v>76740</v>
      </c>
      <c r="F314" s="91">
        <v>89035</v>
      </c>
      <c r="G314" s="91">
        <v>87582</v>
      </c>
      <c r="H314" s="91">
        <v>118548</v>
      </c>
    </row>
    <row r="315" spans="1:8" x14ac:dyDescent="0.2">
      <c r="A315" s="90" t="s">
        <v>176</v>
      </c>
      <c r="B315" s="91">
        <v>11632</v>
      </c>
      <c r="C315" s="91">
        <v>13925</v>
      </c>
      <c r="D315" s="91">
        <v>15441</v>
      </c>
      <c r="E315" s="91">
        <v>20622</v>
      </c>
      <c r="F315" s="91">
        <v>23886</v>
      </c>
      <c r="G315" s="91">
        <v>28107</v>
      </c>
      <c r="H315" s="91">
        <v>44477</v>
      </c>
    </row>
    <row r="316" spans="1:8" x14ac:dyDescent="0.2">
      <c r="A316" s="90" t="s">
        <v>324</v>
      </c>
      <c r="B316" s="91">
        <v>0</v>
      </c>
      <c r="C316" s="91">
        <v>0</v>
      </c>
      <c r="D316" s="91">
        <v>0</v>
      </c>
      <c r="E316" s="91">
        <v>0</v>
      </c>
      <c r="F316" s="91">
        <v>0</v>
      </c>
      <c r="G316" s="91">
        <v>0</v>
      </c>
      <c r="H316" s="91">
        <v>0</v>
      </c>
    </row>
    <row r="317" spans="1:8" x14ac:dyDescent="0.2">
      <c r="A317" s="90" t="s">
        <v>178</v>
      </c>
      <c r="B317" s="90" t="s">
        <v>83</v>
      </c>
      <c r="C317" s="90" t="s">
        <v>83</v>
      </c>
      <c r="D317" s="90" t="s">
        <v>83</v>
      </c>
      <c r="E317" s="90" t="s">
        <v>83</v>
      </c>
      <c r="F317" s="90" t="s">
        <v>83</v>
      </c>
      <c r="G317" s="90" t="s">
        <v>83</v>
      </c>
      <c r="H317" s="90" t="s">
        <v>83</v>
      </c>
    </row>
    <row r="318" spans="1:8" x14ac:dyDescent="0.2">
      <c r="A318" s="90" t="s">
        <v>325</v>
      </c>
      <c r="B318" s="91">
        <v>-6061</v>
      </c>
      <c r="C318" s="91">
        <v>-15773</v>
      </c>
      <c r="D318" s="91">
        <v>-12223</v>
      </c>
      <c r="E318" s="91">
        <v>-27577</v>
      </c>
      <c r="F318" s="91">
        <v>-30311</v>
      </c>
      <c r="G318" s="91">
        <v>-22680</v>
      </c>
      <c r="H318" s="91">
        <v>-96970</v>
      </c>
    </row>
    <row r="319" spans="1:8" x14ac:dyDescent="0.2">
      <c r="A319" s="90" t="s">
        <v>184</v>
      </c>
      <c r="B319" s="91">
        <v>12699</v>
      </c>
      <c r="C319" s="91">
        <v>13811</v>
      </c>
      <c r="D319" s="91">
        <v>15137</v>
      </c>
      <c r="E319" s="91">
        <v>16521</v>
      </c>
      <c r="F319" s="91">
        <v>18135</v>
      </c>
      <c r="G319" s="91">
        <v>19800</v>
      </c>
      <c r="H319" s="91">
        <v>21771</v>
      </c>
    </row>
    <row r="320" spans="1:8" x14ac:dyDescent="0.2">
      <c r="A320" s="88" t="s">
        <v>326</v>
      </c>
    </row>
    <row r="321" spans="1:8" x14ac:dyDescent="0.2">
      <c r="A321" s="90" t="s">
        <v>327</v>
      </c>
      <c r="B321" s="91">
        <v>2400</v>
      </c>
      <c r="C321" s="91">
        <v>2400</v>
      </c>
      <c r="D321" s="91">
        <v>2400</v>
      </c>
      <c r="E321" s="91">
        <v>2000</v>
      </c>
      <c r="F321" s="91">
        <v>1900</v>
      </c>
      <c r="G321" s="91">
        <v>1700</v>
      </c>
      <c r="H321" s="91">
        <v>1700</v>
      </c>
    </row>
    <row r="322" spans="1:8" x14ac:dyDescent="0.2">
      <c r="A322" s="90" t="s">
        <v>194</v>
      </c>
      <c r="B322" s="91">
        <v>5500</v>
      </c>
      <c r="C322" s="91">
        <v>8400</v>
      </c>
      <c r="D322" s="91">
        <v>12500</v>
      </c>
      <c r="E322" s="91">
        <v>13400</v>
      </c>
      <c r="F322" s="91">
        <v>16000</v>
      </c>
      <c r="G322" s="91">
        <v>23100</v>
      </c>
      <c r="H322" s="91">
        <v>23400</v>
      </c>
    </row>
    <row r="323" spans="1:8" x14ac:dyDescent="0.2">
      <c r="A323" s="90" t="s">
        <v>328</v>
      </c>
      <c r="B323" s="90" t="s">
        <v>83</v>
      </c>
      <c r="C323" s="90" t="s">
        <v>83</v>
      </c>
      <c r="D323" s="90" t="s">
        <v>83</v>
      </c>
      <c r="E323" s="90" t="s">
        <v>83</v>
      </c>
      <c r="F323" s="90" t="s">
        <v>83</v>
      </c>
      <c r="G323" s="90" t="s">
        <v>83</v>
      </c>
      <c r="H323" s="90" t="s">
        <v>83</v>
      </c>
    </row>
    <row r="324" spans="1:8" x14ac:dyDescent="0.2">
      <c r="A324" s="90" t="s">
        <v>329</v>
      </c>
      <c r="B324" s="91">
        <v>-7324</v>
      </c>
      <c r="C324" s="90" t="s">
        <v>83</v>
      </c>
      <c r="D324" s="90" t="s">
        <v>83</v>
      </c>
      <c r="E324" s="90" t="s">
        <v>83</v>
      </c>
      <c r="F324" s="90" t="s">
        <v>83</v>
      </c>
      <c r="G324" s="90" t="s">
        <v>83</v>
      </c>
      <c r="H324" s="91">
        <v>5250</v>
      </c>
    </row>
    <row r="325" spans="1:8" x14ac:dyDescent="0.2">
      <c r="A325" s="90" t="s">
        <v>330</v>
      </c>
      <c r="B325" s="90" t="s">
        <v>83</v>
      </c>
      <c r="C325" s="90" t="s">
        <v>83</v>
      </c>
      <c r="D325" s="90" t="s">
        <v>83</v>
      </c>
      <c r="E325" s="90" t="s">
        <v>83</v>
      </c>
      <c r="F325" s="90" t="s">
        <v>83</v>
      </c>
      <c r="G325" s="90" t="s">
        <v>83</v>
      </c>
      <c r="H325" s="90" t="s">
        <v>83</v>
      </c>
    </row>
    <row r="326" spans="1:8" x14ac:dyDescent="0.2">
      <c r="A326" s="90" t="s">
        <v>197</v>
      </c>
      <c r="B326" s="91">
        <v>1</v>
      </c>
      <c r="C326" s="91">
        <v>1</v>
      </c>
      <c r="D326" s="91">
        <v>1</v>
      </c>
      <c r="E326" s="91">
        <v>1</v>
      </c>
      <c r="F326" s="91">
        <v>1</v>
      </c>
      <c r="G326" s="91">
        <v>1</v>
      </c>
      <c r="H326" s="91">
        <v>1</v>
      </c>
    </row>
    <row r="327" spans="1:8" x14ac:dyDescent="0.2">
      <c r="A327" s="90" t="s">
        <v>198</v>
      </c>
      <c r="B327" s="91">
        <v>1600</v>
      </c>
      <c r="C327" s="91">
        <v>1600</v>
      </c>
      <c r="D327" s="91">
        <v>1600</v>
      </c>
      <c r="E327" s="91">
        <v>1500</v>
      </c>
      <c r="F327" s="91">
        <v>1500</v>
      </c>
      <c r="G327" s="91">
        <v>904</v>
      </c>
      <c r="H327" s="91">
        <v>1700</v>
      </c>
    </row>
    <row r="328" spans="1:8" x14ac:dyDescent="0.2">
      <c r="A328" s="90" t="s">
        <v>212</v>
      </c>
      <c r="B328" s="91">
        <v>1.65</v>
      </c>
      <c r="C328" s="91">
        <v>1.8</v>
      </c>
      <c r="D328" s="91">
        <v>1.99</v>
      </c>
      <c r="E328" s="91">
        <v>2.19</v>
      </c>
      <c r="F328" s="91">
        <v>2.42</v>
      </c>
      <c r="G328" s="91">
        <v>2.66</v>
      </c>
      <c r="H328" s="91">
        <v>2.93</v>
      </c>
    </row>
    <row r="329" spans="1:8" x14ac:dyDescent="0.2">
      <c r="A329" s="90" t="s">
        <v>213</v>
      </c>
      <c r="B329" s="91">
        <v>12917</v>
      </c>
      <c r="C329" s="91">
        <v>14103</v>
      </c>
      <c r="D329" s="91">
        <v>15483</v>
      </c>
      <c r="E329" s="91">
        <v>16871</v>
      </c>
      <c r="F329" s="91">
        <v>18552</v>
      </c>
      <c r="G329" s="91">
        <v>20226</v>
      </c>
      <c r="H329" s="91">
        <v>22293</v>
      </c>
    </row>
    <row r="330" spans="1:8" x14ac:dyDescent="0.2">
      <c r="A330" s="90" t="s">
        <v>214</v>
      </c>
      <c r="B330" s="91">
        <v>0</v>
      </c>
      <c r="C330" s="91">
        <v>0</v>
      </c>
      <c r="D330" s="91">
        <v>0</v>
      </c>
      <c r="E330" s="91">
        <v>0</v>
      </c>
      <c r="F330" s="91">
        <v>0</v>
      </c>
      <c r="G330" s="91">
        <v>0</v>
      </c>
      <c r="H330" s="91">
        <v>0</v>
      </c>
    </row>
    <row r="331" spans="1:8" x14ac:dyDescent="0.2">
      <c r="A331" s="90" t="s">
        <v>227</v>
      </c>
      <c r="B331" s="91">
        <v>0</v>
      </c>
      <c r="C331" s="91">
        <v>0</v>
      </c>
      <c r="D331" s="91">
        <v>0</v>
      </c>
      <c r="E331" s="91">
        <v>0</v>
      </c>
      <c r="F331" s="91">
        <v>0</v>
      </c>
      <c r="G331" s="91">
        <v>0</v>
      </c>
      <c r="H331" s="91">
        <v>0</v>
      </c>
    </row>
    <row r="332" spans="1:8" x14ac:dyDescent="0.2">
      <c r="A332" s="90" t="s">
        <v>228</v>
      </c>
      <c r="B332" s="91">
        <v>0</v>
      </c>
      <c r="C332" s="91">
        <v>0</v>
      </c>
      <c r="D332" s="91">
        <v>0</v>
      </c>
      <c r="E332" s="91">
        <v>0</v>
      </c>
      <c r="F332" s="91">
        <v>0</v>
      </c>
      <c r="G332" s="91">
        <v>0</v>
      </c>
      <c r="H332" s="91">
        <v>0</v>
      </c>
    </row>
    <row r="333" spans="1:8" x14ac:dyDescent="0.2">
      <c r="A333" s="90" t="s">
        <v>230</v>
      </c>
      <c r="B333" s="91">
        <v>101.57</v>
      </c>
      <c r="C333" s="91">
        <v>157.69999999999999</v>
      </c>
      <c r="D333" s="91">
        <v>222.42</v>
      </c>
      <c r="E333" s="91">
        <v>336.32</v>
      </c>
      <c r="F333" s="91">
        <v>239.82</v>
      </c>
      <c r="G333" s="91">
        <v>376.04</v>
      </c>
      <c r="H333" s="91">
        <v>421.5</v>
      </c>
    </row>
    <row r="334" spans="1:8" x14ac:dyDescent="0.2">
      <c r="A334" s="90" t="s">
        <v>233</v>
      </c>
      <c r="B334" s="91">
        <v>98.61</v>
      </c>
      <c r="C334" s="91">
        <v>133.96</v>
      </c>
      <c r="D334" s="91">
        <v>203.51</v>
      </c>
      <c r="E334" s="91">
        <v>270.89999999999998</v>
      </c>
      <c r="F334" s="91">
        <v>256.83</v>
      </c>
      <c r="G334" s="91">
        <v>340.54</v>
      </c>
      <c r="H334" s="91">
        <v>446.95</v>
      </c>
    </row>
    <row r="335" spans="1:8" x14ac:dyDescent="0.2">
      <c r="A335" s="90" t="s">
        <v>234</v>
      </c>
      <c r="B335" s="91">
        <v>377</v>
      </c>
      <c r="C335" s="91">
        <v>411</v>
      </c>
      <c r="D335" s="91">
        <v>788</v>
      </c>
      <c r="E335" s="91">
        <v>751</v>
      </c>
      <c r="F335" s="91">
        <v>633</v>
      </c>
      <c r="G335" s="91">
        <v>650</v>
      </c>
      <c r="H335" s="91">
        <v>830</v>
      </c>
    </row>
    <row r="336" spans="1:8" x14ac:dyDescent="0.2">
      <c r="A336" s="90" t="s">
        <v>240</v>
      </c>
      <c r="B336" s="91">
        <v>1585</v>
      </c>
      <c r="C336" s="91">
        <v>1707</v>
      </c>
      <c r="D336" s="91">
        <v>2043</v>
      </c>
      <c r="E336" s="91">
        <v>2127</v>
      </c>
      <c r="F336" s="91">
        <v>2461</v>
      </c>
      <c r="G336" s="91">
        <v>2875</v>
      </c>
      <c r="H336" s="91">
        <v>3555</v>
      </c>
    </row>
    <row r="337" spans="1:8" x14ac:dyDescent="0.2">
      <c r="A337" s="90" t="s">
        <v>242</v>
      </c>
      <c r="B337" s="91">
        <v>14726</v>
      </c>
      <c r="C337" s="91">
        <v>16876</v>
      </c>
      <c r="D337" s="91">
        <v>19269</v>
      </c>
      <c r="E337" s="91">
        <v>20716</v>
      </c>
      <c r="F337" s="91">
        <v>24512</v>
      </c>
      <c r="G337" s="91">
        <v>27195</v>
      </c>
      <c r="H337" s="91">
        <v>29510</v>
      </c>
    </row>
  </sheetData>
  <mergeCells count="5">
    <mergeCell ref="K2:Q2"/>
    <mergeCell ref="K37:Q37"/>
    <mergeCell ref="K63:O63"/>
    <mergeCell ref="M67:N67"/>
    <mergeCell ref="Q65:V6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B101D-66F4-431F-8AA5-4BF01B341004}">
  <dimension ref="A1:O337"/>
  <sheetViews>
    <sheetView zoomScale="120" zoomScaleNormal="120" workbookViewId="0"/>
  </sheetViews>
  <sheetFormatPr defaultRowHeight="12.75" x14ac:dyDescent="0.2"/>
  <cols>
    <col min="1" max="1" width="41.5703125" customWidth="1"/>
    <col min="2" max="2" width="17.85546875" customWidth="1"/>
    <col min="3" max="3" width="20" customWidth="1"/>
    <col min="4" max="4" width="21.85546875" customWidth="1"/>
    <col min="5" max="5" width="24.5703125" customWidth="1"/>
    <col min="8" max="8" width="27.140625" customWidth="1"/>
    <col min="9" max="9" width="14.42578125" customWidth="1"/>
    <col min="10" max="10" width="13" customWidth="1"/>
    <col min="11" max="11" width="12.140625" customWidth="1"/>
    <col min="12" max="12" width="14.28515625" customWidth="1"/>
    <col min="14" max="14" width="20.5703125" customWidth="1"/>
  </cols>
  <sheetData>
    <row r="1" spans="1:14" x14ac:dyDescent="0.2">
      <c r="A1" s="88" t="s">
        <v>356</v>
      </c>
      <c r="I1" s="114" t="s">
        <v>55</v>
      </c>
      <c r="J1" s="114"/>
      <c r="K1" s="114"/>
      <c r="L1" s="114"/>
      <c r="M1" s="114"/>
    </row>
    <row r="2" spans="1:14" x14ac:dyDescent="0.2">
      <c r="A2" s="88" t="s">
        <v>57</v>
      </c>
      <c r="I2" s="114"/>
      <c r="J2" s="114"/>
      <c r="K2" s="114"/>
      <c r="L2" s="114"/>
      <c r="M2" s="114"/>
    </row>
    <row r="3" spans="1:14" x14ac:dyDescent="0.2">
      <c r="A3" s="88"/>
      <c r="B3" s="88">
        <v>2021</v>
      </c>
      <c r="C3" s="88">
        <v>2022</v>
      </c>
      <c r="D3" s="88">
        <v>2023</v>
      </c>
      <c r="E3" s="88">
        <v>2024</v>
      </c>
      <c r="I3" s="114"/>
      <c r="J3" s="114"/>
      <c r="K3" s="114"/>
      <c r="L3" s="114"/>
      <c r="M3" s="114"/>
    </row>
    <row r="4" spans="1:14" x14ac:dyDescent="0.2">
      <c r="A4" s="88"/>
      <c r="I4" s="114"/>
      <c r="J4" s="114"/>
      <c r="K4" s="114"/>
      <c r="L4" s="114"/>
      <c r="M4" s="114"/>
    </row>
    <row r="5" spans="1:14" x14ac:dyDescent="0.2">
      <c r="A5" s="89" t="s">
        <v>1</v>
      </c>
    </row>
    <row r="6" spans="1:14" x14ac:dyDescent="0.2">
      <c r="A6" s="88" t="s">
        <v>58</v>
      </c>
    </row>
    <row r="7" spans="1:14" x14ac:dyDescent="0.2">
      <c r="A7" s="90" t="s">
        <v>59</v>
      </c>
      <c r="B7" s="91">
        <v>130334</v>
      </c>
      <c r="C7" s="91">
        <v>104757</v>
      </c>
      <c r="D7" s="91">
        <v>111262</v>
      </c>
      <c r="E7" s="91">
        <v>75543</v>
      </c>
    </row>
    <row r="8" spans="1:14" x14ac:dyDescent="0.2">
      <c r="A8" s="90" t="s">
        <v>60</v>
      </c>
      <c r="B8" s="91">
        <v>14224</v>
      </c>
      <c r="C8" s="91">
        <v>13931</v>
      </c>
      <c r="D8" s="91">
        <v>34704</v>
      </c>
      <c r="E8" s="91">
        <v>18315</v>
      </c>
      <c r="I8" s="116" t="s">
        <v>335</v>
      </c>
      <c r="J8" s="116"/>
      <c r="K8" s="116"/>
      <c r="L8" s="116"/>
      <c r="M8" s="116"/>
      <c r="N8" s="116"/>
    </row>
    <row r="9" spans="1:14" x14ac:dyDescent="0.2">
      <c r="A9" s="90" t="s">
        <v>61</v>
      </c>
      <c r="B9" s="91">
        <v>116110</v>
      </c>
      <c r="C9" s="91">
        <v>90826</v>
      </c>
      <c r="D9" s="91">
        <v>76558</v>
      </c>
      <c r="E9" s="91">
        <v>57228</v>
      </c>
    </row>
    <row r="10" spans="1:14" x14ac:dyDescent="0.2">
      <c r="A10" s="94" t="s">
        <v>62</v>
      </c>
      <c r="B10" s="95">
        <v>38043</v>
      </c>
      <c r="C10" s="95">
        <v>50361</v>
      </c>
      <c r="D10" s="95">
        <v>57888</v>
      </c>
      <c r="E10" s="95">
        <v>67424</v>
      </c>
      <c r="H10" s="81"/>
      <c r="I10" s="81">
        <v>2021</v>
      </c>
      <c r="J10" s="81">
        <f>I10+1</f>
        <v>2022</v>
      </c>
      <c r="K10" s="81">
        <f>J10+1</f>
        <v>2023</v>
      </c>
      <c r="L10" s="81">
        <f>K10+1</f>
        <v>2024</v>
      </c>
      <c r="M10" s="75"/>
      <c r="N10" s="75"/>
    </row>
    <row r="11" spans="1:14" x14ac:dyDescent="0.2">
      <c r="A11" s="90" t="s">
        <v>63</v>
      </c>
      <c r="B11" s="91">
        <v>38043</v>
      </c>
      <c r="C11" s="91">
        <v>44261</v>
      </c>
      <c r="D11" s="91">
        <v>48688</v>
      </c>
      <c r="E11" s="91">
        <v>56924</v>
      </c>
      <c r="H11" t="s">
        <v>336</v>
      </c>
      <c r="I11" s="91">
        <v>168088</v>
      </c>
      <c r="J11" s="91">
        <v>198270</v>
      </c>
      <c r="K11" s="91">
        <v>211915</v>
      </c>
      <c r="L11" s="91">
        <v>245122</v>
      </c>
    </row>
    <row r="12" spans="1:14" x14ac:dyDescent="0.2">
      <c r="A12" s="90" t="s">
        <v>64</v>
      </c>
      <c r="B12" s="91">
        <v>0</v>
      </c>
      <c r="C12" s="91">
        <v>0</v>
      </c>
      <c r="D12" s="91">
        <v>0</v>
      </c>
      <c r="E12" s="91">
        <v>0</v>
      </c>
      <c r="H12" s="68" t="s">
        <v>337</v>
      </c>
      <c r="I12" s="91">
        <v>41332</v>
      </c>
      <c r="J12" s="91">
        <v>48050</v>
      </c>
      <c r="K12" s="91">
        <v>52211</v>
      </c>
      <c r="L12" s="91">
        <v>54114</v>
      </c>
    </row>
    <row r="13" spans="1:14" x14ac:dyDescent="0.2">
      <c r="A13" s="90" t="s">
        <v>65</v>
      </c>
      <c r="B13" s="91">
        <v>0</v>
      </c>
      <c r="C13" s="91">
        <v>6100</v>
      </c>
      <c r="D13" s="91">
        <v>9200</v>
      </c>
      <c r="E13" s="91">
        <v>10500</v>
      </c>
      <c r="H13" s="68" t="s">
        <v>338</v>
      </c>
      <c r="I13" s="91">
        <v>45940</v>
      </c>
      <c r="J13" s="91">
        <v>52111</v>
      </c>
      <c r="K13" s="91">
        <v>56510</v>
      </c>
      <c r="L13" s="91">
        <v>61575</v>
      </c>
    </row>
    <row r="14" spans="1:14" x14ac:dyDescent="0.2">
      <c r="A14" s="94" t="s">
        <v>66</v>
      </c>
      <c r="B14" s="95">
        <v>2636</v>
      </c>
      <c r="C14" s="95">
        <v>3742</v>
      </c>
      <c r="D14" s="95">
        <v>2500</v>
      </c>
      <c r="E14" s="95">
        <v>1246</v>
      </c>
      <c r="H14" s="68" t="s">
        <v>339</v>
      </c>
      <c r="I14" s="91">
        <v>10900</v>
      </c>
      <c r="J14" s="91">
        <v>14600</v>
      </c>
      <c r="K14" s="91">
        <v>13500</v>
      </c>
      <c r="L14" s="91">
        <v>20000</v>
      </c>
    </row>
    <row r="15" spans="1:14" x14ac:dyDescent="0.2">
      <c r="A15" s="90" t="s">
        <v>67</v>
      </c>
      <c r="B15" s="91">
        <v>1190</v>
      </c>
      <c r="C15" s="91">
        <v>1144</v>
      </c>
      <c r="D15" s="91">
        <v>709</v>
      </c>
      <c r="E15" s="91">
        <v>394</v>
      </c>
      <c r="H15" s="68" t="s">
        <v>5</v>
      </c>
      <c r="I15" s="91">
        <v>0.21</v>
      </c>
      <c r="J15" s="91">
        <v>0.21</v>
      </c>
      <c r="K15" s="91">
        <v>0.21</v>
      </c>
      <c r="L15" s="91">
        <v>0.21</v>
      </c>
    </row>
    <row r="16" spans="1:14" x14ac:dyDescent="0.2">
      <c r="A16" s="90" t="s">
        <v>68</v>
      </c>
      <c r="B16" s="91">
        <v>79</v>
      </c>
      <c r="C16" s="91">
        <v>82</v>
      </c>
      <c r="D16" s="91">
        <v>23</v>
      </c>
      <c r="E16" s="91">
        <v>7</v>
      </c>
    </row>
    <row r="17" spans="1:15" x14ac:dyDescent="0.2">
      <c r="A17" s="90" t="s">
        <v>69</v>
      </c>
      <c r="B17" s="91">
        <v>1367</v>
      </c>
      <c r="C17" s="91">
        <v>2516</v>
      </c>
      <c r="D17" s="91">
        <v>1768</v>
      </c>
      <c r="E17" s="91">
        <v>845</v>
      </c>
      <c r="H17" s="68" t="s">
        <v>9</v>
      </c>
      <c r="I17">
        <f>(I11-I12-I13-I14)*(1-I15)</f>
        <v>55233.64</v>
      </c>
      <c r="J17">
        <f t="shared" ref="J17:L17" si="0">(J11-J12-J13-J14)*(1-J15)</f>
        <v>65972.11</v>
      </c>
      <c r="K17">
        <f t="shared" si="0"/>
        <v>70858.260000000009</v>
      </c>
      <c r="L17">
        <f t="shared" si="0"/>
        <v>86452.07</v>
      </c>
    </row>
    <row r="18" spans="1:15" x14ac:dyDescent="0.2">
      <c r="A18" s="90" t="s">
        <v>70</v>
      </c>
      <c r="B18" s="91">
        <v>0</v>
      </c>
      <c r="C18" s="91">
        <v>0</v>
      </c>
      <c r="D18" s="91">
        <v>0</v>
      </c>
      <c r="E18" s="91">
        <v>0</v>
      </c>
    </row>
    <row r="19" spans="1:15" ht="25.5" x14ac:dyDescent="0.2">
      <c r="A19" s="90" t="s">
        <v>71</v>
      </c>
      <c r="B19" s="91">
        <v>13393</v>
      </c>
      <c r="C19" s="91">
        <v>10824</v>
      </c>
      <c r="D19" s="91">
        <v>12607</v>
      </c>
      <c r="E19" s="91">
        <v>15521</v>
      </c>
      <c r="H19" s="92" t="s">
        <v>359</v>
      </c>
      <c r="I19" s="91">
        <v>80816</v>
      </c>
      <c r="J19" s="91">
        <v>98109</v>
      </c>
      <c r="K19" s="91">
        <v>103194</v>
      </c>
      <c r="L19" s="91">
        <v>129433</v>
      </c>
    </row>
    <row r="20" spans="1:15" x14ac:dyDescent="0.2">
      <c r="A20" s="90" t="s">
        <v>72</v>
      </c>
      <c r="B20" s="91">
        <v>0</v>
      </c>
      <c r="C20" s="91">
        <v>0</v>
      </c>
      <c r="D20" s="91">
        <v>0</v>
      </c>
      <c r="E20" s="91">
        <v>0</v>
      </c>
      <c r="O20" t="s">
        <v>83</v>
      </c>
    </row>
    <row r="21" spans="1:15" x14ac:dyDescent="0.2">
      <c r="A21" s="90" t="s">
        <v>73</v>
      </c>
      <c r="B21" s="91">
        <v>13393</v>
      </c>
      <c r="C21" s="91">
        <v>10824</v>
      </c>
      <c r="D21" s="91">
        <v>12607</v>
      </c>
      <c r="E21" s="91">
        <v>15521</v>
      </c>
      <c r="H21" t="s">
        <v>340</v>
      </c>
      <c r="I21" s="70">
        <f>I19/I11</f>
        <v>0.4807957736423778</v>
      </c>
      <c r="J21" s="70">
        <f t="shared" ref="J21:K21" si="1">J19/J11</f>
        <v>0.49482523831139358</v>
      </c>
      <c r="K21" s="70">
        <f t="shared" si="1"/>
        <v>0.4869593940966897</v>
      </c>
      <c r="L21" s="70">
        <f>L19/L11</f>
        <v>0.52803501929651353</v>
      </c>
    </row>
    <row r="22" spans="1:15" x14ac:dyDescent="0.2">
      <c r="A22" s="90" t="s">
        <v>74</v>
      </c>
      <c r="B22" s="91">
        <v>184406</v>
      </c>
      <c r="C22" s="91">
        <v>169684</v>
      </c>
      <c r="D22" s="91">
        <v>184257</v>
      </c>
      <c r="E22" s="91">
        <v>159734</v>
      </c>
    </row>
    <row r="23" spans="1:15" x14ac:dyDescent="0.2">
      <c r="A23" s="90" t="s">
        <v>75</v>
      </c>
      <c r="B23" s="91">
        <v>70803</v>
      </c>
      <c r="C23" s="91">
        <v>87546</v>
      </c>
      <c r="D23" s="91">
        <v>109987</v>
      </c>
      <c r="E23" s="91">
        <v>154552</v>
      </c>
    </row>
    <row r="24" spans="1:15" x14ac:dyDescent="0.2">
      <c r="A24" s="90" t="s">
        <v>76</v>
      </c>
      <c r="B24" s="91">
        <v>122154</v>
      </c>
      <c r="C24" s="91">
        <v>147206</v>
      </c>
      <c r="D24" s="91">
        <v>178238</v>
      </c>
      <c r="E24" s="91">
        <v>230973</v>
      </c>
      <c r="H24" s="75"/>
      <c r="I24" s="115" t="s">
        <v>341</v>
      </c>
      <c r="J24" s="115"/>
      <c r="K24" s="115"/>
      <c r="L24" s="115"/>
      <c r="M24" s="115"/>
      <c r="N24" s="115"/>
    </row>
    <row r="25" spans="1:15" x14ac:dyDescent="0.2">
      <c r="A25" s="90" t="s">
        <v>77</v>
      </c>
      <c r="B25" s="91">
        <v>51351</v>
      </c>
      <c r="C25" s="91">
        <v>59660</v>
      </c>
      <c r="D25" s="91">
        <v>68251</v>
      </c>
      <c r="E25" s="91">
        <v>76421</v>
      </c>
      <c r="H25" s="68"/>
    </row>
    <row r="26" spans="1:15" x14ac:dyDescent="0.2">
      <c r="A26" s="90" t="s">
        <v>78</v>
      </c>
      <c r="B26" s="90" t="s">
        <v>83</v>
      </c>
      <c r="C26" s="90" t="s">
        <v>83</v>
      </c>
      <c r="D26" s="90" t="s">
        <v>83</v>
      </c>
      <c r="E26" s="91">
        <v>6000</v>
      </c>
      <c r="H26" s="68" t="s">
        <v>342</v>
      </c>
      <c r="I26" s="91">
        <v>38043</v>
      </c>
      <c r="J26" s="91">
        <v>50361</v>
      </c>
      <c r="K26" s="91">
        <v>57888</v>
      </c>
      <c r="L26" s="91">
        <v>67424</v>
      </c>
    </row>
    <row r="27" spans="1:15" ht="13.5" x14ac:dyDescent="0.25">
      <c r="A27" s="90" t="s">
        <v>79</v>
      </c>
      <c r="B27" s="91">
        <v>9384</v>
      </c>
      <c r="C27" s="91">
        <v>10691</v>
      </c>
      <c r="D27" s="91">
        <v>14379</v>
      </c>
      <c r="E27" s="91">
        <v>13500</v>
      </c>
      <c r="H27" s="72" t="s">
        <v>347</v>
      </c>
      <c r="I27" s="75"/>
      <c r="J27" s="76">
        <f>J26-I26</f>
        <v>12318</v>
      </c>
      <c r="K27" s="76">
        <f t="shared" ref="K27:L27" si="2">K26-J26</f>
        <v>7527</v>
      </c>
      <c r="L27" s="76">
        <f t="shared" si="2"/>
        <v>9536</v>
      </c>
      <c r="M27" s="75"/>
      <c r="N27" s="75"/>
    </row>
    <row r="28" spans="1:15" x14ac:dyDescent="0.2">
      <c r="A28" s="90" t="s">
        <v>80</v>
      </c>
      <c r="B28" s="91">
        <v>57511</v>
      </c>
      <c r="C28" s="91">
        <v>78822</v>
      </c>
      <c r="D28" s="91">
        <v>77252</v>
      </c>
      <c r="E28" s="91">
        <v>146817</v>
      </c>
      <c r="H28" s="68" t="s">
        <v>343</v>
      </c>
      <c r="I28" s="91">
        <v>2636</v>
      </c>
      <c r="J28" s="91">
        <v>3742</v>
      </c>
      <c r="K28" s="91">
        <v>2500</v>
      </c>
      <c r="L28" s="91">
        <v>1246</v>
      </c>
    </row>
    <row r="29" spans="1:15" x14ac:dyDescent="0.2">
      <c r="A29" s="90" t="s">
        <v>81</v>
      </c>
      <c r="B29" s="91">
        <v>11675</v>
      </c>
      <c r="C29" s="91">
        <v>18097</v>
      </c>
      <c r="D29" s="91">
        <v>26101</v>
      </c>
      <c r="E29" s="91">
        <v>31560</v>
      </c>
      <c r="H29" s="74" t="s">
        <v>348</v>
      </c>
      <c r="I29" s="75"/>
      <c r="J29" s="76">
        <f>J28-I28</f>
        <v>1106</v>
      </c>
      <c r="K29" s="76">
        <f t="shared" ref="K29:L29" si="3">K28-J28</f>
        <v>-1242</v>
      </c>
      <c r="L29" s="76">
        <f t="shared" si="3"/>
        <v>-1254</v>
      </c>
      <c r="M29" s="75"/>
      <c r="N29" s="75"/>
    </row>
    <row r="30" spans="1:15" x14ac:dyDescent="0.2">
      <c r="A30" s="90" t="s">
        <v>82</v>
      </c>
      <c r="B30" s="91">
        <v>0</v>
      </c>
      <c r="C30" s="91">
        <v>0</v>
      </c>
      <c r="D30" s="91">
        <v>0</v>
      </c>
      <c r="E30" s="91">
        <v>0</v>
      </c>
      <c r="H30" s="68" t="s">
        <v>344</v>
      </c>
      <c r="I30" s="91">
        <v>15163</v>
      </c>
      <c r="J30" s="91">
        <v>19000</v>
      </c>
      <c r="K30" s="91">
        <v>18095</v>
      </c>
      <c r="L30" s="91">
        <v>21996</v>
      </c>
    </row>
    <row r="31" spans="1:15" ht="13.5" x14ac:dyDescent="0.25">
      <c r="A31" s="90" t="s">
        <v>84</v>
      </c>
      <c r="B31" s="91">
        <v>11675</v>
      </c>
      <c r="C31" s="91">
        <v>18097</v>
      </c>
      <c r="D31" s="91">
        <v>26101</v>
      </c>
      <c r="E31" s="91">
        <v>31560</v>
      </c>
      <c r="H31" s="72" t="s">
        <v>349</v>
      </c>
      <c r="I31" s="75"/>
      <c r="J31" s="76">
        <f>J30-I30</f>
        <v>3837</v>
      </c>
      <c r="K31" s="76">
        <f t="shared" ref="K31:L31" si="4">K30-J30</f>
        <v>-905</v>
      </c>
      <c r="L31" s="76">
        <f t="shared" si="4"/>
        <v>3901</v>
      </c>
      <c r="M31" s="75"/>
      <c r="N31" s="75"/>
    </row>
    <row r="32" spans="1:15" x14ac:dyDescent="0.2">
      <c r="A32" s="90" t="s">
        <v>85</v>
      </c>
      <c r="B32" s="91">
        <v>333779</v>
      </c>
      <c r="C32" s="91">
        <v>364840</v>
      </c>
      <c r="D32" s="91">
        <v>411976</v>
      </c>
      <c r="E32" s="91">
        <v>512163</v>
      </c>
      <c r="H32" s="68" t="s">
        <v>345</v>
      </c>
      <c r="I32" s="77"/>
      <c r="J32" s="77"/>
      <c r="K32" s="77"/>
      <c r="L32" s="77"/>
    </row>
    <row r="33" spans="1:14" x14ac:dyDescent="0.2">
      <c r="A33" s="88" t="s">
        <v>86</v>
      </c>
      <c r="H33" s="68" t="s">
        <v>346</v>
      </c>
      <c r="I33" s="77">
        <f>I14</f>
        <v>10900</v>
      </c>
      <c r="J33" s="77">
        <f t="shared" ref="J33:L33" si="5">J14</f>
        <v>14600</v>
      </c>
      <c r="K33" s="77">
        <f t="shared" si="5"/>
        <v>13500</v>
      </c>
      <c r="L33" s="77">
        <f t="shared" si="5"/>
        <v>20000</v>
      </c>
    </row>
    <row r="34" spans="1:14" x14ac:dyDescent="0.2">
      <c r="A34" s="90" t="s">
        <v>87</v>
      </c>
      <c r="B34" s="91">
        <v>10825</v>
      </c>
      <c r="C34" s="91">
        <v>6037</v>
      </c>
      <c r="D34" s="91">
        <v>8853</v>
      </c>
      <c r="E34" s="91">
        <v>14871</v>
      </c>
      <c r="H34" s="74" t="s">
        <v>350</v>
      </c>
      <c r="I34" s="91">
        <v>20622</v>
      </c>
      <c r="J34" s="91">
        <v>23886</v>
      </c>
      <c r="K34" s="91">
        <v>28107</v>
      </c>
      <c r="L34" s="91">
        <v>44477</v>
      </c>
      <c r="M34" s="75"/>
      <c r="N34" s="75"/>
    </row>
    <row r="35" spans="1:14" x14ac:dyDescent="0.2">
      <c r="A35" s="90" t="s">
        <v>88</v>
      </c>
      <c r="B35" s="91">
        <v>0</v>
      </c>
      <c r="C35" s="91">
        <v>0</v>
      </c>
      <c r="D35" s="91">
        <v>0</v>
      </c>
      <c r="E35" s="91">
        <v>6693</v>
      </c>
      <c r="H35" s="80" t="s">
        <v>351</v>
      </c>
      <c r="I35" s="96">
        <f>I26+I28-I30</f>
        <v>25516</v>
      </c>
      <c r="J35" s="96">
        <f t="shared" ref="J35:L35" si="6">J26+J28-J30</f>
        <v>35103</v>
      </c>
      <c r="K35" s="96">
        <f t="shared" si="6"/>
        <v>42293</v>
      </c>
      <c r="L35" s="96">
        <f t="shared" si="6"/>
        <v>46674</v>
      </c>
      <c r="M35" s="93"/>
      <c r="N35" s="93"/>
    </row>
    <row r="36" spans="1:14" ht="16.5" x14ac:dyDescent="0.25">
      <c r="A36" s="90" t="s">
        <v>89</v>
      </c>
      <c r="B36" s="91">
        <v>10825</v>
      </c>
      <c r="C36" s="91">
        <v>6037</v>
      </c>
      <c r="D36" s="91">
        <v>8853</v>
      </c>
      <c r="E36" s="91">
        <v>8178</v>
      </c>
      <c r="H36" s="71" t="s">
        <v>352</v>
      </c>
      <c r="J36" s="45">
        <f>J35-I35</f>
        <v>9587</v>
      </c>
      <c r="K36" s="45">
        <f t="shared" ref="K36:L36" si="7">K35-J35</f>
        <v>7190</v>
      </c>
      <c r="L36" s="45">
        <f t="shared" si="7"/>
        <v>4381</v>
      </c>
    </row>
    <row r="37" spans="1:14" x14ac:dyDescent="0.2">
      <c r="A37" s="94" t="s">
        <v>90</v>
      </c>
      <c r="B37" s="95">
        <v>15163</v>
      </c>
      <c r="C37" s="95">
        <v>19000</v>
      </c>
      <c r="D37" s="95">
        <v>18095</v>
      </c>
      <c r="E37" s="95">
        <v>21996</v>
      </c>
    </row>
    <row r="38" spans="1:14" x14ac:dyDescent="0.2">
      <c r="A38" s="90" t="s">
        <v>91</v>
      </c>
      <c r="B38" s="91">
        <v>2174</v>
      </c>
      <c r="C38" s="91">
        <v>4067</v>
      </c>
      <c r="D38" s="91">
        <v>4152</v>
      </c>
      <c r="E38" s="91">
        <v>5017</v>
      </c>
      <c r="H38" s="75"/>
      <c r="I38" s="115" t="s">
        <v>14</v>
      </c>
      <c r="J38" s="115"/>
      <c r="K38" s="115"/>
      <c r="L38" s="115"/>
      <c r="M38" s="115"/>
      <c r="N38" s="115"/>
    </row>
    <row r="39" spans="1:14" x14ac:dyDescent="0.2">
      <c r="A39" s="90" t="s">
        <v>92</v>
      </c>
      <c r="B39" s="91">
        <v>60495</v>
      </c>
      <c r="C39" s="91">
        <v>65978</v>
      </c>
      <c r="D39" s="91">
        <v>73049</v>
      </c>
      <c r="E39" s="91">
        <v>83402</v>
      </c>
      <c r="I39" s="78">
        <f>I17+I14-I34-I36</f>
        <v>45511.64</v>
      </c>
      <c r="J39" s="78">
        <f>J17+J14-J34-J36</f>
        <v>47099.11</v>
      </c>
      <c r="K39" s="78">
        <f t="shared" ref="K39:L39" si="8">K17+K14-K34-K36</f>
        <v>49061.260000000009</v>
      </c>
      <c r="L39" s="78">
        <f t="shared" si="8"/>
        <v>57594.070000000007</v>
      </c>
    </row>
    <row r="40" spans="1:14" x14ac:dyDescent="0.2">
      <c r="A40" s="90" t="s">
        <v>93</v>
      </c>
      <c r="B40" s="91">
        <v>10057</v>
      </c>
      <c r="C40" s="91">
        <v>10661</v>
      </c>
      <c r="D40" s="91">
        <v>11009</v>
      </c>
      <c r="E40" s="91">
        <v>12564</v>
      </c>
    </row>
    <row r="41" spans="1:14" x14ac:dyDescent="0.2">
      <c r="A41" s="90" t="s">
        <v>94</v>
      </c>
      <c r="B41" s="91">
        <v>50438</v>
      </c>
      <c r="C41" s="91">
        <v>55317</v>
      </c>
      <c r="D41" s="91">
        <v>62040</v>
      </c>
      <c r="E41" s="91">
        <v>70838</v>
      </c>
    </row>
    <row r="42" spans="1:14" x14ac:dyDescent="0.2">
      <c r="A42" s="90" t="s">
        <v>95</v>
      </c>
      <c r="B42" s="91">
        <v>88657</v>
      </c>
      <c r="C42" s="91">
        <v>95082</v>
      </c>
      <c r="D42" s="91">
        <v>104149</v>
      </c>
      <c r="E42" s="91">
        <v>125286</v>
      </c>
    </row>
    <row r="43" spans="1:14" x14ac:dyDescent="0.2">
      <c r="A43" s="90" t="s">
        <v>96</v>
      </c>
      <c r="B43" s="91">
        <v>71453</v>
      </c>
      <c r="C43" s="91">
        <v>72363</v>
      </c>
      <c r="D43" s="91">
        <v>70588</v>
      </c>
      <c r="E43" s="91">
        <v>82981</v>
      </c>
    </row>
    <row r="44" spans="1:14" x14ac:dyDescent="0.2">
      <c r="A44" s="90" t="s">
        <v>97</v>
      </c>
      <c r="B44" s="91">
        <v>0</v>
      </c>
      <c r="C44" s="91">
        <v>0</v>
      </c>
      <c r="D44" s="91">
        <v>0</v>
      </c>
      <c r="E44" s="91">
        <v>0</v>
      </c>
    </row>
    <row r="45" spans="1:14" x14ac:dyDescent="0.2">
      <c r="A45" s="90" t="s">
        <v>98</v>
      </c>
      <c r="B45" s="91">
        <v>0</v>
      </c>
      <c r="C45" s="91">
        <v>0</v>
      </c>
      <c r="D45" s="91">
        <v>0</v>
      </c>
      <c r="E45" s="91">
        <v>0</v>
      </c>
      <c r="H45" s="74" t="s">
        <v>358</v>
      </c>
      <c r="I45" s="75"/>
      <c r="J45" s="75"/>
      <c r="K45" s="75"/>
      <c r="L45" s="75"/>
      <c r="M45" s="75"/>
      <c r="N45" s="75"/>
    </row>
    <row r="46" spans="1:14" x14ac:dyDescent="0.2">
      <c r="A46" s="90" t="s">
        <v>99</v>
      </c>
      <c r="B46" s="91">
        <v>0</v>
      </c>
      <c r="C46" s="91">
        <v>0</v>
      </c>
      <c r="D46" s="91">
        <v>0</v>
      </c>
      <c r="E46" s="91">
        <v>0</v>
      </c>
    </row>
    <row r="47" spans="1:14" x14ac:dyDescent="0.2">
      <c r="A47" s="90" t="s">
        <v>100</v>
      </c>
      <c r="B47" s="91">
        <v>0</v>
      </c>
      <c r="C47" s="91">
        <v>0</v>
      </c>
      <c r="D47" s="91">
        <v>0</v>
      </c>
      <c r="E47" s="91">
        <v>0</v>
      </c>
      <c r="H47" s="98" t="s">
        <v>360</v>
      </c>
      <c r="I47" s="75"/>
      <c r="J47" s="75"/>
      <c r="K47" s="75"/>
      <c r="L47" s="75"/>
    </row>
    <row r="48" spans="1:14" x14ac:dyDescent="0.2">
      <c r="A48" s="90" t="s">
        <v>101</v>
      </c>
      <c r="B48" s="91">
        <v>0</v>
      </c>
      <c r="C48" s="91">
        <v>0</v>
      </c>
      <c r="D48" s="91">
        <v>0</v>
      </c>
      <c r="E48" s="91">
        <v>0</v>
      </c>
    </row>
    <row r="49" spans="1:11" x14ac:dyDescent="0.2">
      <c r="A49" s="90" t="s">
        <v>102</v>
      </c>
      <c r="B49" s="91">
        <v>0</v>
      </c>
      <c r="C49" s="91">
        <v>0</v>
      </c>
      <c r="D49" s="91">
        <v>0</v>
      </c>
      <c r="E49" s="91">
        <v>0</v>
      </c>
      <c r="H49" s="74" t="s">
        <v>367</v>
      </c>
      <c r="I49" s="75"/>
      <c r="J49" s="75"/>
      <c r="K49" s="75"/>
    </row>
    <row r="50" spans="1:11" x14ac:dyDescent="0.2">
      <c r="A50" s="90" t="s">
        <v>103</v>
      </c>
      <c r="B50" s="91">
        <v>59703</v>
      </c>
      <c r="C50" s="91">
        <v>58521</v>
      </c>
      <c r="D50" s="91">
        <v>54718</v>
      </c>
      <c r="E50" s="91">
        <v>58185</v>
      </c>
    </row>
    <row r="51" spans="1:11" x14ac:dyDescent="0.2">
      <c r="A51" s="90" t="s">
        <v>104</v>
      </c>
      <c r="B51" s="91">
        <v>11750</v>
      </c>
      <c r="C51" s="91">
        <v>13842</v>
      </c>
      <c r="D51" s="91">
        <v>15870</v>
      </c>
      <c r="E51" s="91">
        <v>24796</v>
      </c>
    </row>
    <row r="52" spans="1:11" x14ac:dyDescent="0.2">
      <c r="A52" s="90" t="s">
        <v>105</v>
      </c>
      <c r="B52" s="91">
        <v>31483</v>
      </c>
      <c r="C52" s="91">
        <v>30623</v>
      </c>
      <c r="D52" s="91">
        <v>30583</v>
      </c>
      <c r="E52" s="91">
        <v>32801</v>
      </c>
    </row>
    <row r="53" spans="1:11" x14ac:dyDescent="0.2">
      <c r="A53" s="90" t="s">
        <v>106</v>
      </c>
      <c r="B53" s="91">
        <v>198</v>
      </c>
      <c r="C53" s="91">
        <v>230</v>
      </c>
      <c r="D53" s="91">
        <v>433</v>
      </c>
      <c r="E53" s="91">
        <v>2618</v>
      </c>
    </row>
    <row r="54" spans="1:11" x14ac:dyDescent="0.2">
      <c r="A54" s="90" t="s">
        <v>107</v>
      </c>
      <c r="B54" s="91">
        <v>198</v>
      </c>
      <c r="C54" s="91">
        <v>230</v>
      </c>
      <c r="D54" s="91">
        <v>433</v>
      </c>
      <c r="E54" s="91">
        <v>2618</v>
      </c>
    </row>
    <row r="55" spans="1:11" x14ac:dyDescent="0.2">
      <c r="A55" s="90" t="s">
        <v>108</v>
      </c>
      <c r="B55" s="91">
        <v>0</v>
      </c>
      <c r="C55" s="91">
        <v>0</v>
      </c>
      <c r="D55" s="91">
        <v>0</v>
      </c>
      <c r="E55" s="91">
        <v>0</v>
      </c>
    </row>
    <row r="56" spans="1:11" x14ac:dyDescent="0.2">
      <c r="A56" s="90" t="s">
        <v>109</v>
      </c>
      <c r="B56" s="91">
        <v>0</v>
      </c>
      <c r="C56" s="91">
        <v>0</v>
      </c>
      <c r="D56" s="91">
        <v>0</v>
      </c>
      <c r="E56" s="91">
        <v>0</v>
      </c>
    </row>
    <row r="57" spans="1:11" x14ac:dyDescent="0.2">
      <c r="A57" s="90" t="s">
        <v>110</v>
      </c>
      <c r="B57" s="91">
        <v>191791</v>
      </c>
      <c r="C57" s="91">
        <v>198298</v>
      </c>
      <c r="D57" s="91">
        <v>205753</v>
      </c>
      <c r="E57" s="91">
        <v>243686</v>
      </c>
    </row>
    <row r="58" spans="1:11" x14ac:dyDescent="0.2">
      <c r="A58" s="88" t="s">
        <v>111</v>
      </c>
    </row>
    <row r="59" spans="1:11" x14ac:dyDescent="0.2">
      <c r="A59" s="90" t="s">
        <v>112</v>
      </c>
      <c r="B59" s="91">
        <v>0</v>
      </c>
      <c r="C59" s="91">
        <v>0</v>
      </c>
      <c r="D59" s="91">
        <v>0</v>
      </c>
      <c r="E59" s="91">
        <v>0</v>
      </c>
    </row>
    <row r="60" spans="1:11" x14ac:dyDescent="0.2">
      <c r="A60" s="90" t="s">
        <v>113</v>
      </c>
      <c r="B60" s="91">
        <v>0</v>
      </c>
      <c r="C60" s="91">
        <v>0</v>
      </c>
      <c r="D60" s="91">
        <v>0</v>
      </c>
      <c r="E60" s="91">
        <v>0</v>
      </c>
    </row>
    <row r="61" spans="1:11" x14ac:dyDescent="0.2">
      <c r="A61" s="90" t="s">
        <v>114</v>
      </c>
      <c r="B61" s="91">
        <v>0</v>
      </c>
      <c r="C61" s="91">
        <v>0</v>
      </c>
      <c r="D61" s="91">
        <v>0</v>
      </c>
      <c r="E61" s="91">
        <v>0</v>
      </c>
    </row>
    <row r="62" spans="1:11" x14ac:dyDescent="0.2">
      <c r="A62" s="90" t="s">
        <v>115</v>
      </c>
      <c r="B62" s="91">
        <v>141988</v>
      </c>
      <c r="C62" s="91">
        <v>166542</v>
      </c>
      <c r="D62" s="91">
        <v>206223</v>
      </c>
      <c r="E62" s="91">
        <v>268477</v>
      </c>
    </row>
    <row r="63" spans="1:11" x14ac:dyDescent="0.2">
      <c r="A63" s="90" t="s">
        <v>116</v>
      </c>
      <c r="B63" s="91">
        <v>4.7E-2</v>
      </c>
      <c r="C63" s="91">
        <v>4.7E-2</v>
      </c>
      <c r="D63" s="91">
        <v>4.5999999999999999E-2</v>
      </c>
      <c r="E63" s="91">
        <v>4.5999999999999999E-2</v>
      </c>
    </row>
    <row r="64" spans="1:11" x14ac:dyDescent="0.2">
      <c r="A64" s="90" t="s">
        <v>117</v>
      </c>
      <c r="B64" s="91">
        <v>83110.952999999994</v>
      </c>
      <c r="C64" s="91">
        <v>86938.952999999994</v>
      </c>
      <c r="D64" s="91">
        <v>93717.953999999998</v>
      </c>
      <c r="E64" s="91">
        <v>100922.954</v>
      </c>
    </row>
    <row r="65" spans="1:5" x14ac:dyDescent="0.2">
      <c r="A65" s="90" t="s">
        <v>118</v>
      </c>
      <c r="B65" s="91">
        <v>58877</v>
      </c>
      <c r="C65" s="91">
        <v>79603</v>
      </c>
      <c r="D65" s="91">
        <v>112505</v>
      </c>
      <c r="E65" s="91">
        <v>167554</v>
      </c>
    </row>
    <row r="66" spans="1:5" x14ac:dyDescent="0.2">
      <c r="A66" s="90" t="s">
        <v>119</v>
      </c>
      <c r="B66" s="91">
        <v>0</v>
      </c>
      <c r="C66" s="91">
        <v>0</v>
      </c>
      <c r="D66" s="91">
        <v>0</v>
      </c>
      <c r="E66" s="91">
        <v>0</v>
      </c>
    </row>
    <row r="67" spans="1:5" x14ac:dyDescent="0.2">
      <c r="A67" s="90" t="s">
        <v>120</v>
      </c>
      <c r="B67" s="91">
        <v>141988</v>
      </c>
      <c r="C67" s="91">
        <v>166542</v>
      </c>
      <c r="D67" s="91">
        <v>206223</v>
      </c>
      <c r="E67" s="91">
        <v>268477</v>
      </c>
    </row>
    <row r="68" spans="1:5" x14ac:dyDescent="0.2">
      <c r="A68" s="90" t="s">
        <v>121</v>
      </c>
      <c r="B68" s="91">
        <v>0</v>
      </c>
      <c r="C68" s="91">
        <v>0</v>
      </c>
      <c r="D68" s="91">
        <v>0</v>
      </c>
      <c r="E68" s="91">
        <v>0</v>
      </c>
    </row>
    <row r="69" spans="1:5" x14ac:dyDescent="0.2">
      <c r="A69" s="90" t="s">
        <v>122</v>
      </c>
      <c r="B69" s="91">
        <v>141988</v>
      </c>
      <c r="C69" s="91">
        <v>166542</v>
      </c>
      <c r="D69" s="91">
        <v>206223</v>
      </c>
      <c r="E69" s="91">
        <v>268477</v>
      </c>
    </row>
    <row r="70" spans="1:5" x14ac:dyDescent="0.2">
      <c r="A70" s="90" t="s">
        <v>123</v>
      </c>
      <c r="B70" s="91">
        <v>333779</v>
      </c>
      <c r="C70" s="91">
        <v>364840</v>
      </c>
      <c r="D70" s="91">
        <v>411976</v>
      </c>
      <c r="E70" s="91">
        <v>512163</v>
      </c>
    </row>
    <row r="71" spans="1:5" x14ac:dyDescent="0.2">
      <c r="A71" s="88"/>
    </row>
    <row r="72" spans="1:5" x14ac:dyDescent="0.2">
      <c r="A72" s="89" t="s">
        <v>334</v>
      </c>
    </row>
    <row r="73" spans="1:5" x14ac:dyDescent="0.2">
      <c r="A73" s="94" t="s">
        <v>124</v>
      </c>
      <c r="B73" s="95">
        <v>168088</v>
      </c>
      <c r="C73" s="95">
        <v>198270</v>
      </c>
      <c r="D73" s="95">
        <v>211915</v>
      </c>
      <c r="E73" s="95">
        <v>245122</v>
      </c>
    </row>
    <row r="74" spans="1:5" x14ac:dyDescent="0.2">
      <c r="A74" s="94" t="s">
        <v>125</v>
      </c>
      <c r="B74" s="95">
        <v>41332</v>
      </c>
      <c r="C74" s="95">
        <v>48050</v>
      </c>
      <c r="D74" s="95">
        <v>52211</v>
      </c>
      <c r="E74" s="95">
        <v>54114</v>
      </c>
    </row>
    <row r="75" spans="1:5" x14ac:dyDescent="0.2">
      <c r="A75" s="94" t="s">
        <v>126</v>
      </c>
      <c r="B75" s="95">
        <v>45940</v>
      </c>
      <c r="C75" s="95">
        <v>52111</v>
      </c>
      <c r="D75" s="95">
        <v>56510</v>
      </c>
      <c r="E75" s="95">
        <v>61575</v>
      </c>
    </row>
    <row r="76" spans="1:5" x14ac:dyDescent="0.2">
      <c r="A76" s="94" t="s">
        <v>127</v>
      </c>
      <c r="B76" s="95">
        <v>80816</v>
      </c>
      <c r="C76" s="95">
        <v>98109</v>
      </c>
      <c r="D76" s="95">
        <v>103194</v>
      </c>
      <c r="E76" s="95">
        <v>129433</v>
      </c>
    </row>
    <row r="77" spans="1:5" x14ac:dyDescent="0.2">
      <c r="A77" s="94" t="s">
        <v>128</v>
      </c>
      <c r="B77" s="95">
        <v>10900</v>
      </c>
      <c r="C77" s="95">
        <v>14600</v>
      </c>
      <c r="D77" s="95">
        <v>13500</v>
      </c>
      <c r="E77" s="95">
        <v>20000</v>
      </c>
    </row>
    <row r="78" spans="1:5" x14ac:dyDescent="0.2">
      <c r="A78" s="90" t="s">
        <v>129</v>
      </c>
      <c r="B78" s="91">
        <v>1600</v>
      </c>
      <c r="C78" s="91">
        <v>2000</v>
      </c>
      <c r="D78" s="91">
        <v>2500</v>
      </c>
      <c r="E78" s="91">
        <v>4800</v>
      </c>
    </row>
    <row r="79" spans="1:5" x14ac:dyDescent="0.2">
      <c r="A79" s="90" t="s">
        <v>130</v>
      </c>
      <c r="B79" s="90" t="s">
        <v>83</v>
      </c>
      <c r="C79" s="90" t="s">
        <v>83</v>
      </c>
      <c r="D79" s="90" t="s">
        <v>83</v>
      </c>
      <c r="E79" s="90" t="s">
        <v>83</v>
      </c>
    </row>
    <row r="80" spans="1:5" x14ac:dyDescent="0.2">
      <c r="A80" s="90" t="s">
        <v>131</v>
      </c>
      <c r="B80" s="90" t="s">
        <v>83</v>
      </c>
      <c r="C80" s="90" t="s">
        <v>83</v>
      </c>
      <c r="D80" s="90" t="s">
        <v>83</v>
      </c>
      <c r="E80" s="90" t="s">
        <v>83</v>
      </c>
    </row>
    <row r="81" spans="1:5" x14ac:dyDescent="0.2">
      <c r="A81" s="90" t="s">
        <v>132</v>
      </c>
      <c r="B81" s="91">
        <v>69916</v>
      </c>
      <c r="C81" s="91">
        <v>83509</v>
      </c>
      <c r="D81" s="91">
        <v>89694</v>
      </c>
      <c r="E81" s="91">
        <v>109433</v>
      </c>
    </row>
    <row r="82" spans="1:5" x14ac:dyDescent="0.2">
      <c r="A82" s="90" t="s">
        <v>133</v>
      </c>
      <c r="B82" s="91">
        <v>2330</v>
      </c>
      <c r="C82" s="91">
        <v>2047</v>
      </c>
      <c r="D82" s="91">
        <v>1995</v>
      </c>
      <c r="E82" s="91">
        <v>2983</v>
      </c>
    </row>
    <row r="83" spans="1:5" x14ac:dyDescent="0.2">
      <c r="A83" s="90" t="s">
        <v>134</v>
      </c>
      <c r="B83" s="91">
        <v>3516</v>
      </c>
      <c r="C83" s="91">
        <v>2380</v>
      </c>
      <c r="D83" s="91">
        <v>2783</v>
      </c>
      <c r="E83" s="91">
        <v>1337</v>
      </c>
    </row>
    <row r="84" spans="1:5" x14ac:dyDescent="0.2">
      <c r="A84" s="90" t="s">
        <v>135</v>
      </c>
      <c r="B84" s="91">
        <v>3516</v>
      </c>
      <c r="C84" s="91">
        <v>2380</v>
      </c>
      <c r="D84" s="91">
        <v>2783</v>
      </c>
      <c r="E84" s="91">
        <v>1337</v>
      </c>
    </row>
    <row r="85" spans="1:5" x14ac:dyDescent="0.2">
      <c r="A85" s="90" t="s">
        <v>136</v>
      </c>
      <c r="B85" s="90" t="s">
        <v>83</v>
      </c>
      <c r="C85" s="90" t="s">
        <v>83</v>
      </c>
      <c r="D85" s="90" t="s">
        <v>83</v>
      </c>
      <c r="E85" s="90" t="s">
        <v>83</v>
      </c>
    </row>
    <row r="86" spans="1:5" x14ac:dyDescent="0.2">
      <c r="A86" s="90" t="s">
        <v>137</v>
      </c>
      <c r="B86" s="90" t="s">
        <v>83</v>
      </c>
      <c r="C86" s="91">
        <v>-126</v>
      </c>
      <c r="D86" s="91">
        <v>-1171</v>
      </c>
      <c r="E86" s="91">
        <v>0</v>
      </c>
    </row>
    <row r="87" spans="1:5" x14ac:dyDescent="0.2">
      <c r="A87" s="90" t="s">
        <v>138</v>
      </c>
      <c r="B87" s="91">
        <v>71102</v>
      </c>
      <c r="C87" s="91">
        <v>83716</v>
      </c>
      <c r="D87" s="91">
        <v>89311</v>
      </c>
      <c r="E87" s="91">
        <v>107787</v>
      </c>
    </row>
    <row r="88" spans="1:5" x14ac:dyDescent="0.2">
      <c r="A88" s="90" t="s">
        <v>139</v>
      </c>
      <c r="B88" s="91">
        <v>34972</v>
      </c>
      <c r="C88" s="91">
        <v>47837</v>
      </c>
      <c r="D88" s="91">
        <v>52917</v>
      </c>
      <c r="E88" s="91">
        <v>62886</v>
      </c>
    </row>
    <row r="89" spans="1:5" x14ac:dyDescent="0.2">
      <c r="A89" s="90" t="s">
        <v>140</v>
      </c>
      <c r="B89" s="91">
        <v>36130</v>
      </c>
      <c r="C89" s="91">
        <v>35879</v>
      </c>
      <c r="D89" s="91">
        <v>36394</v>
      </c>
      <c r="E89" s="91">
        <v>44901</v>
      </c>
    </row>
    <row r="90" spans="1:5" x14ac:dyDescent="0.2">
      <c r="A90" s="90" t="s">
        <v>141</v>
      </c>
      <c r="B90" s="91">
        <v>9831</v>
      </c>
      <c r="C90" s="91">
        <v>10978</v>
      </c>
      <c r="D90" s="91">
        <v>16950</v>
      </c>
      <c r="E90" s="91">
        <v>19651</v>
      </c>
    </row>
    <row r="91" spans="1:5" x14ac:dyDescent="0.2">
      <c r="A91" s="90" t="s">
        <v>142</v>
      </c>
      <c r="B91" s="91">
        <v>-150</v>
      </c>
      <c r="C91" s="91">
        <v>-5702</v>
      </c>
      <c r="D91" s="91">
        <v>-6059</v>
      </c>
      <c r="E91" s="91">
        <v>-4738</v>
      </c>
    </row>
    <row r="92" spans="1:5" x14ac:dyDescent="0.2">
      <c r="A92" s="90" t="s">
        <v>143</v>
      </c>
      <c r="B92" s="91">
        <v>25</v>
      </c>
      <c r="C92" s="91">
        <v>-4815</v>
      </c>
      <c r="D92" s="91">
        <v>-6146</v>
      </c>
      <c r="E92" s="91">
        <v>-4791</v>
      </c>
    </row>
    <row r="93" spans="1:5" x14ac:dyDescent="0.2">
      <c r="A93" s="90" t="s">
        <v>144</v>
      </c>
      <c r="B93" s="91">
        <v>29</v>
      </c>
      <c r="C93" s="91">
        <v>175</v>
      </c>
      <c r="D93" s="91">
        <v>564</v>
      </c>
      <c r="E93" s="91">
        <v>432</v>
      </c>
    </row>
    <row r="94" spans="1:5" x14ac:dyDescent="0.2">
      <c r="A94" s="90" t="s">
        <v>145</v>
      </c>
      <c r="B94" s="91">
        <v>-204</v>
      </c>
      <c r="C94" s="91">
        <v>-1062</v>
      </c>
      <c r="D94" s="91">
        <v>-477</v>
      </c>
      <c r="E94" s="91">
        <v>-379</v>
      </c>
    </row>
    <row r="95" spans="1:5" x14ac:dyDescent="0.2">
      <c r="A95" s="90" t="s">
        <v>146</v>
      </c>
      <c r="B95" s="91">
        <v>3285</v>
      </c>
      <c r="C95" s="91">
        <v>8329</v>
      </c>
      <c r="D95" s="91">
        <v>14009</v>
      </c>
      <c r="E95" s="91">
        <v>12165</v>
      </c>
    </row>
    <row r="96" spans="1:5" x14ac:dyDescent="0.2">
      <c r="A96" s="90" t="s">
        <v>147</v>
      </c>
      <c r="B96" s="91">
        <v>5467</v>
      </c>
      <c r="C96" s="91">
        <v>6672</v>
      </c>
      <c r="D96" s="91">
        <v>6678</v>
      </c>
      <c r="E96" s="91">
        <v>9858</v>
      </c>
    </row>
    <row r="97" spans="1:5" x14ac:dyDescent="0.2">
      <c r="A97" s="90" t="s">
        <v>148</v>
      </c>
      <c r="B97" s="91">
        <v>1229</v>
      </c>
      <c r="C97" s="91">
        <v>1679</v>
      </c>
      <c r="D97" s="91">
        <v>2322</v>
      </c>
      <c r="E97" s="91">
        <v>2366</v>
      </c>
    </row>
    <row r="98" spans="1:5" x14ac:dyDescent="0.2">
      <c r="A98" s="90" t="s">
        <v>149</v>
      </c>
      <c r="B98" s="91">
        <v>0</v>
      </c>
      <c r="C98" s="91">
        <v>0</v>
      </c>
      <c r="D98" s="91">
        <v>0</v>
      </c>
      <c r="E98" s="91">
        <v>0</v>
      </c>
    </row>
    <row r="99" spans="1:5" x14ac:dyDescent="0.2">
      <c r="A99" s="90" t="s">
        <v>150</v>
      </c>
      <c r="B99" s="91">
        <v>0</v>
      </c>
      <c r="C99" s="91">
        <v>0</v>
      </c>
      <c r="D99" s="91">
        <v>0</v>
      </c>
      <c r="E99" s="91">
        <v>0</v>
      </c>
    </row>
    <row r="100" spans="1:5" x14ac:dyDescent="0.2">
      <c r="A100" s="90" t="s">
        <v>151</v>
      </c>
      <c r="B100" s="91">
        <v>61271</v>
      </c>
      <c r="C100" s="91">
        <v>72738</v>
      </c>
      <c r="D100" s="91">
        <v>72361</v>
      </c>
      <c r="E100" s="91">
        <v>88136</v>
      </c>
    </row>
    <row r="101" spans="1:5" x14ac:dyDescent="0.2">
      <c r="A101" s="90" t="s">
        <v>152</v>
      </c>
      <c r="B101" s="91">
        <v>0</v>
      </c>
      <c r="C101" s="91">
        <v>0</v>
      </c>
      <c r="D101" s="91">
        <v>0</v>
      </c>
      <c r="E101" s="91">
        <v>0</v>
      </c>
    </row>
    <row r="102" spans="1:5" x14ac:dyDescent="0.2">
      <c r="A102" s="90" t="s">
        <v>153</v>
      </c>
      <c r="B102" s="91">
        <v>61271</v>
      </c>
      <c r="C102" s="91">
        <v>72738</v>
      </c>
      <c r="D102" s="91">
        <v>72361</v>
      </c>
      <c r="E102" s="91">
        <v>88136</v>
      </c>
    </row>
    <row r="103" spans="1:5" x14ac:dyDescent="0.2">
      <c r="A103" s="90" t="s">
        <v>154</v>
      </c>
      <c r="B103" s="91">
        <v>0</v>
      </c>
      <c r="C103" s="91">
        <v>0</v>
      </c>
      <c r="D103" s="91">
        <v>0</v>
      </c>
      <c r="E103" s="91">
        <v>0</v>
      </c>
    </row>
    <row r="104" spans="1:5" x14ac:dyDescent="0.2">
      <c r="A104" s="90" t="s">
        <v>155</v>
      </c>
      <c r="B104" s="91">
        <v>61271</v>
      </c>
      <c r="C104" s="91">
        <v>72738</v>
      </c>
      <c r="D104" s="91">
        <v>72361</v>
      </c>
      <c r="E104" s="91">
        <v>88136</v>
      </c>
    </row>
    <row r="105" spans="1:5" x14ac:dyDescent="0.2">
      <c r="A105" s="90" t="s">
        <v>156</v>
      </c>
      <c r="B105" s="91">
        <v>0</v>
      </c>
      <c r="C105" s="91">
        <v>0</v>
      </c>
      <c r="D105" s="91">
        <v>0</v>
      </c>
      <c r="E105" s="91">
        <v>0</v>
      </c>
    </row>
    <row r="106" spans="1:5" x14ac:dyDescent="0.2">
      <c r="A106" s="90" t="s">
        <v>157</v>
      </c>
      <c r="B106" s="91">
        <v>0</v>
      </c>
      <c r="C106" s="91">
        <v>0</v>
      </c>
      <c r="D106" s="91">
        <v>0</v>
      </c>
      <c r="E106" s="91">
        <v>0</v>
      </c>
    </row>
    <row r="107" spans="1:5" x14ac:dyDescent="0.2">
      <c r="A107" s="90" t="s">
        <v>158</v>
      </c>
      <c r="B107" s="91">
        <v>0</v>
      </c>
      <c r="C107" s="91">
        <v>0</v>
      </c>
      <c r="D107" s="91">
        <v>0</v>
      </c>
      <c r="E107" s="91">
        <v>0</v>
      </c>
    </row>
    <row r="108" spans="1:5" x14ac:dyDescent="0.2">
      <c r="A108" s="90" t="s">
        <v>159</v>
      </c>
      <c r="B108" s="91">
        <v>61271</v>
      </c>
      <c r="C108" s="91">
        <v>72738</v>
      </c>
      <c r="D108" s="91">
        <v>72361</v>
      </c>
      <c r="E108" s="91">
        <v>88136</v>
      </c>
    </row>
    <row r="109" spans="1:5" x14ac:dyDescent="0.2">
      <c r="A109" s="90" t="s">
        <v>160</v>
      </c>
      <c r="B109" s="91">
        <v>61271</v>
      </c>
      <c r="C109" s="91">
        <v>72738</v>
      </c>
      <c r="D109" s="91">
        <v>72361</v>
      </c>
      <c r="E109" s="91">
        <v>88136</v>
      </c>
    </row>
    <row r="110" spans="1:5" x14ac:dyDescent="0.2">
      <c r="A110" s="88"/>
    </row>
    <row r="111" spans="1:5" x14ac:dyDescent="0.2">
      <c r="A111" s="89" t="s">
        <v>321</v>
      </c>
    </row>
    <row r="112" spans="1:5" x14ac:dyDescent="0.2">
      <c r="A112" s="88" t="s">
        <v>161</v>
      </c>
    </row>
    <row r="113" spans="1:5" x14ac:dyDescent="0.2">
      <c r="A113" s="90" t="s">
        <v>151</v>
      </c>
      <c r="B113" s="91">
        <v>61271</v>
      </c>
      <c r="C113" s="91">
        <v>72738</v>
      </c>
      <c r="D113" s="91">
        <v>72361</v>
      </c>
      <c r="E113" s="91">
        <v>88136</v>
      </c>
    </row>
    <row r="114" spans="1:5" x14ac:dyDescent="0.2">
      <c r="A114" s="90" t="s">
        <v>128</v>
      </c>
      <c r="B114" s="91">
        <v>11686</v>
      </c>
      <c r="C114" s="91">
        <v>14460</v>
      </c>
      <c r="D114" s="91">
        <v>13861</v>
      </c>
      <c r="E114" s="91">
        <v>22287</v>
      </c>
    </row>
    <row r="115" spans="1:5" x14ac:dyDescent="0.2">
      <c r="A115" s="90" t="s">
        <v>156</v>
      </c>
      <c r="B115" s="91">
        <v>0</v>
      </c>
      <c r="C115" s="91">
        <v>0</v>
      </c>
      <c r="D115" s="91">
        <v>0</v>
      </c>
      <c r="E115" s="91">
        <v>0</v>
      </c>
    </row>
    <row r="116" spans="1:5" x14ac:dyDescent="0.2">
      <c r="A116" s="90" t="s">
        <v>162</v>
      </c>
      <c r="B116" s="91">
        <v>-150</v>
      </c>
      <c r="C116" s="91">
        <v>-5702</v>
      </c>
      <c r="D116" s="91">
        <v>-6059</v>
      </c>
      <c r="E116" s="91">
        <v>-4738</v>
      </c>
    </row>
    <row r="117" spans="1:5" x14ac:dyDescent="0.2">
      <c r="A117" s="90" t="s">
        <v>163</v>
      </c>
      <c r="B117" s="90" t="s">
        <v>83</v>
      </c>
      <c r="C117" s="90" t="s">
        <v>83</v>
      </c>
      <c r="D117" s="90" t="s">
        <v>83</v>
      </c>
      <c r="E117" s="90" t="s">
        <v>83</v>
      </c>
    </row>
    <row r="118" spans="1:5" x14ac:dyDescent="0.2">
      <c r="A118" s="90" t="s">
        <v>164</v>
      </c>
      <c r="B118" s="90" t="s">
        <v>83</v>
      </c>
      <c r="C118" s="90" t="s">
        <v>83</v>
      </c>
      <c r="D118" s="90" t="s">
        <v>83</v>
      </c>
      <c r="E118" s="90" t="s">
        <v>83</v>
      </c>
    </row>
    <row r="119" spans="1:5" x14ac:dyDescent="0.2">
      <c r="A119" s="90" t="s">
        <v>165</v>
      </c>
      <c r="B119" s="91">
        <v>4869</v>
      </c>
      <c r="C119" s="91">
        <v>7093</v>
      </c>
      <c r="D119" s="91">
        <v>9807</v>
      </c>
      <c r="E119" s="91">
        <v>11039</v>
      </c>
    </row>
    <row r="120" spans="1:5" x14ac:dyDescent="0.2">
      <c r="A120" s="90" t="s">
        <v>166</v>
      </c>
      <c r="B120" s="91">
        <v>-6481</v>
      </c>
      <c r="C120" s="91">
        <v>-6834</v>
      </c>
      <c r="D120" s="91">
        <v>-4087</v>
      </c>
      <c r="E120" s="91">
        <v>-7191</v>
      </c>
    </row>
    <row r="121" spans="1:5" x14ac:dyDescent="0.2">
      <c r="A121" s="90" t="s">
        <v>167</v>
      </c>
      <c r="B121" s="91">
        <v>-737</v>
      </c>
      <c r="C121" s="91">
        <v>-1123</v>
      </c>
      <c r="D121" s="91">
        <v>1242</v>
      </c>
      <c r="E121" s="91">
        <v>1284</v>
      </c>
    </row>
    <row r="122" spans="1:5" x14ac:dyDescent="0.2">
      <c r="A122" s="90" t="s">
        <v>168</v>
      </c>
      <c r="B122" s="91">
        <v>2798</v>
      </c>
      <c r="C122" s="91">
        <v>2943</v>
      </c>
      <c r="D122" s="91">
        <v>-2721</v>
      </c>
      <c r="E122" s="91">
        <v>3545</v>
      </c>
    </row>
    <row r="123" spans="1:5" x14ac:dyDescent="0.2">
      <c r="A123" s="90" t="s">
        <v>169</v>
      </c>
      <c r="B123" s="90" t="s">
        <v>83</v>
      </c>
      <c r="C123" s="90" t="s">
        <v>83</v>
      </c>
      <c r="D123" s="90" t="s">
        <v>83</v>
      </c>
      <c r="E123" s="90" t="s">
        <v>83</v>
      </c>
    </row>
    <row r="124" spans="1:5" x14ac:dyDescent="0.2">
      <c r="A124" s="90" t="s">
        <v>170</v>
      </c>
      <c r="B124" s="91">
        <v>3484</v>
      </c>
      <c r="C124" s="91">
        <v>5460</v>
      </c>
      <c r="D124" s="91">
        <v>3178</v>
      </c>
      <c r="E124" s="91">
        <v>4186</v>
      </c>
    </row>
    <row r="125" spans="1:5" x14ac:dyDescent="0.2">
      <c r="A125" s="90" t="s">
        <v>171</v>
      </c>
      <c r="B125" s="91">
        <v>76740</v>
      </c>
      <c r="C125" s="91">
        <v>89035</v>
      </c>
      <c r="D125" s="91">
        <v>87582</v>
      </c>
      <c r="E125" s="91">
        <v>118548</v>
      </c>
    </row>
    <row r="126" spans="1:5" x14ac:dyDescent="0.2">
      <c r="A126" s="88" t="s">
        <v>172</v>
      </c>
    </row>
    <row r="127" spans="1:5" x14ac:dyDescent="0.2">
      <c r="A127" s="90" t="s">
        <v>173</v>
      </c>
      <c r="B127" s="91">
        <v>62924</v>
      </c>
      <c r="C127" s="91">
        <v>26456</v>
      </c>
      <c r="D127" s="91">
        <v>37651</v>
      </c>
      <c r="E127" s="91">
        <v>17732</v>
      </c>
    </row>
    <row r="128" spans="1:5" x14ac:dyDescent="0.2">
      <c r="A128" s="90" t="s">
        <v>174</v>
      </c>
      <c r="B128" s="91">
        <v>65800</v>
      </c>
      <c r="C128" s="91">
        <v>44894</v>
      </c>
      <c r="D128" s="91">
        <v>47864</v>
      </c>
      <c r="E128" s="91">
        <v>35669</v>
      </c>
    </row>
    <row r="129" spans="1:5" x14ac:dyDescent="0.2">
      <c r="A129" s="90" t="s">
        <v>175</v>
      </c>
      <c r="B129" s="90" t="s">
        <v>83</v>
      </c>
      <c r="C129" s="90" t="s">
        <v>83</v>
      </c>
      <c r="D129" s="90" t="s">
        <v>83</v>
      </c>
      <c r="E129" s="90" t="s">
        <v>83</v>
      </c>
    </row>
    <row r="130" spans="1:5" x14ac:dyDescent="0.2">
      <c r="A130" s="94" t="s">
        <v>176</v>
      </c>
      <c r="B130" s="95">
        <v>20622</v>
      </c>
      <c r="C130" s="95">
        <v>23886</v>
      </c>
      <c r="D130" s="95">
        <v>28107</v>
      </c>
      <c r="E130" s="95">
        <v>44477</v>
      </c>
    </row>
    <row r="131" spans="1:5" x14ac:dyDescent="0.2">
      <c r="A131" s="90" t="s">
        <v>177</v>
      </c>
      <c r="B131" s="91">
        <v>0</v>
      </c>
      <c r="C131" s="91">
        <v>0</v>
      </c>
      <c r="D131" s="91">
        <v>0</v>
      </c>
      <c r="E131" s="91">
        <v>0</v>
      </c>
    </row>
    <row r="132" spans="1:5" x14ac:dyDescent="0.2">
      <c r="A132" s="90" t="s">
        <v>178</v>
      </c>
      <c r="B132" s="90" t="s">
        <v>83</v>
      </c>
      <c r="C132" s="90" t="s">
        <v>83</v>
      </c>
      <c r="D132" s="90" t="s">
        <v>83</v>
      </c>
      <c r="E132" s="90" t="s">
        <v>83</v>
      </c>
    </row>
    <row r="133" spans="1:5" x14ac:dyDescent="0.2">
      <c r="A133" s="90" t="s">
        <v>179</v>
      </c>
      <c r="B133" s="91">
        <v>-9831</v>
      </c>
      <c r="C133" s="91">
        <v>-24863</v>
      </c>
      <c r="D133" s="91">
        <v>-4786</v>
      </c>
      <c r="E133" s="91">
        <v>-70430</v>
      </c>
    </row>
    <row r="134" spans="1:5" x14ac:dyDescent="0.2">
      <c r="A134" s="90" t="s">
        <v>180</v>
      </c>
      <c r="B134" s="91">
        <v>-27577</v>
      </c>
      <c r="C134" s="91">
        <v>-30311</v>
      </c>
      <c r="D134" s="91">
        <v>-22680</v>
      </c>
      <c r="E134" s="91">
        <v>-96970</v>
      </c>
    </row>
    <row r="135" spans="1:5" x14ac:dyDescent="0.2">
      <c r="A135" s="88" t="s">
        <v>181</v>
      </c>
    </row>
    <row r="136" spans="1:5" x14ac:dyDescent="0.2">
      <c r="A136" s="90" t="s">
        <v>182</v>
      </c>
      <c r="B136" s="91">
        <v>1693</v>
      </c>
      <c r="C136" s="91">
        <v>1841</v>
      </c>
      <c r="D136" s="91">
        <v>1866</v>
      </c>
      <c r="E136" s="91">
        <v>2002</v>
      </c>
    </row>
    <row r="137" spans="1:5" x14ac:dyDescent="0.2">
      <c r="A137" s="90" t="s">
        <v>183</v>
      </c>
      <c r="B137" s="91">
        <v>27385</v>
      </c>
      <c r="C137" s="91">
        <v>32696</v>
      </c>
      <c r="D137" s="91">
        <v>22245</v>
      </c>
      <c r="E137" s="91">
        <v>17254</v>
      </c>
    </row>
    <row r="138" spans="1:5" x14ac:dyDescent="0.2">
      <c r="A138" s="90" t="s">
        <v>184</v>
      </c>
      <c r="B138" s="91">
        <v>16521</v>
      </c>
      <c r="C138" s="91">
        <v>18135</v>
      </c>
      <c r="D138" s="91">
        <v>19800</v>
      </c>
      <c r="E138" s="91">
        <v>21771</v>
      </c>
    </row>
    <row r="139" spans="1:5" x14ac:dyDescent="0.2">
      <c r="A139" s="90" t="s">
        <v>185</v>
      </c>
      <c r="B139" s="91">
        <v>0</v>
      </c>
      <c r="C139" s="91">
        <v>0</v>
      </c>
      <c r="D139" s="91">
        <v>0</v>
      </c>
      <c r="E139" s="91">
        <v>24395</v>
      </c>
    </row>
    <row r="140" spans="1:5" x14ac:dyDescent="0.2">
      <c r="A140" s="90" t="s">
        <v>186</v>
      </c>
      <c r="B140" s="91">
        <v>3750</v>
      </c>
      <c r="C140" s="91">
        <v>9023</v>
      </c>
      <c r="D140" s="91">
        <v>2750</v>
      </c>
      <c r="E140" s="91">
        <v>29070</v>
      </c>
    </row>
    <row r="141" spans="1:5" x14ac:dyDescent="0.2">
      <c r="A141" s="90" t="s">
        <v>187</v>
      </c>
      <c r="B141" s="90" t="s">
        <v>83</v>
      </c>
      <c r="C141" s="90" t="s">
        <v>83</v>
      </c>
      <c r="D141" s="90" t="s">
        <v>83</v>
      </c>
      <c r="E141" s="91">
        <v>5250</v>
      </c>
    </row>
    <row r="142" spans="1:5" x14ac:dyDescent="0.2">
      <c r="A142" s="90" t="s">
        <v>188</v>
      </c>
      <c r="B142" s="91">
        <v>-2523</v>
      </c>
      <c r="C142" s="91">
        <v>-863</v>
      </c>
      <c r="D142" s="91">
        <v>-1006</v>
      </c>
      <c r="E142" s="91">
        <v>-1309</v>
      </c>
    </row>
    <row r="143" spans="1:5" x14ac:dyDescent="0.2">
      <c r="A143" s="90" t="s">
        <v>189</v>
      </c>
      <c r="B143" s="91">
        <v>-48486</v>
      </c>
      <c r="C143" s="91">
        <v>-58876</v>
      </c>
      <c r="D143" s="91">
        <v>-43935</v>
      </c>
      <c r="E143" s="91">
        <v>-37757</v>
      </c>
    </row>
    <row r="144" spans="1:5" x14ac:dyDescent="0.2">
      <c r="A144" s="90" t="s">
        <v>190</v>
      </c>
      <c r="B144" s="91">
        <v>-29</v>
      </c>
      <c r="C144" s="91">
        <v>-141</v>
      </c>
      <c r="D144" s="91">
        <v>-194</v>
      </c>
      <c r="E144" s="91">
        <v>-210</v>
      </c>
    </row>
    <row r="145" spans="1:5" x14ac:dyDescent="0.2">
      <c r="A145" s="90" t="s">
        <v>191</v>
      </c>
      <c r="B145" s="91">
        <v>648</v>
      </c>
      <c r="C145" s="91">
        <v>-293</v>
      </c>
      <c r="D145" s="91">
        <v>20773</v>
      </c>
      <c r="E145" s="91">
        <v>-16389</v>
      </c>
    </row>
    <row r="146" spans="1:5" x14ac:dyDescent="0.2">
      <c r="A146" s="88" t="s">
        <v>192</v>
      </c>
    </row>
    <row r="147" spans="1:5" x14ac:dyDescent="0.2">
      <c r="A147" s="90" t="s">
        <v>193</v>
      </c>
      <c r="B147" s="91">
        <v>2000</v>
      </c>
      <c r="C147" s="91">
        <v>1900</v>
      </c>
      <c r="D147" s="91">
        <v>1700</v>
      </c>
      <c r="E147" s="91">
        <v>1700</v>
      </c>
    </row>
    <row r="148" spans="1:5" x14ac:dyDescent="0.2">
      <c r="A148" s="90" t="s">
        <v>194</v>
      </c>
      <c r="B148" s="91">
        <v>13400</v>
      </c>
      <c r="C148" s="91">
        <v>16000</v>
      </c>
      <c r="D148" s="91">
        <v>23100</v>
      </c>
      <c r="E148" s="91">
        <v>23400</v>
      </c>
    </row>
    <row r="149" spans="1:5" x14ac:dyDescent="0.2">
      <c r="A149" s="88"/>
    </row>
    <row r="150" spans="1:5" x14ac:dyDescent="0.2">
      <c r="A150" s="89" t="s">
        <v>333</v>
      </c>
    </row>
    <row r="151" spans="1:5" x14ac:dyDescent="0.2">
      <c r="A151" s="90" t="s">
        <v>195</v>
      </c>
      <c r="B151" s="90" t="s">
        <v>83</v>
      </c>
      <c r="C151" s="90" t="s">
        <v>83</v>
      </c>
      <c r="D151" s="90" t="s">
        <v>83</v>
      </c>
      <c r="E151" s="90" t="s">
        <v>83</v>
      </c>
    </row>
    <row r="152" spans="1:5" x14ac:dyDescent="0.2">
      <c r="A152" s="90" t="s">
        <v>196</v>
      </c>
      <c r="B152" s="90" t="s">
        <v>83</v>
      </c>
      <c r="C152" s="90" t="s">
        <v>83</v>
      </c>
      <c r="D152" s="90" t="s">
        <v>83</v>
      </c>
      <c r="E152" s="90" t="s">
        <v>83</v>
      </c>
    </row>
    <row r="153" spans="1:5" x14ac:dyDescent="0.2">
      <c r="A153" s="90" t="s">
        <v>197</v>
      </c>
      <c r="B153" s="91">
        <v>1</v>
      </c>
      <c r="C153" s="91">
        <v>1</v>
      </c>
      <c r="D153" s="91">
        <v>1</v>
      </c>
      <c r="E153" s="91">
        <v>1</v>
      </c>
    </row>
    <row r="154" spans="1:5" x14ac:dyDescent="0.2">
      <c r="A154" s="90" t="s">
        <v>198</v>
      </c>
      <c r="B154" s="91">
        <v>1500</v>
      </c>
      <c r="C154" s="91">
        <v>1500</v>
      </c>
      <c r="D154" s="91">
        <v>904</v>
      </c>
      <c r="E154" s="91">
        <v>1700</v>
      </c>
    </row>
    <row r="155" spans="1:5" x14ac:dyDescent="0.2">
      <c r="A155" s="90" t="s">
        <v>199</v>
      </c>
      <c r="B155" s="90" t="s">
        <v>83</v>
      </c>
      <c r="C155" s="90" t="s">
        <v>83</v>
      </c>
      <c r="D155" s="90" t="s">
        <v>83</v>
      </c>
      <c r="E155" s="90" t="s">
        <v>83</v>
      </c>
    </row>
    <row r="156" spans="1:5" x14ac:dyDescent="0.2">
      <c r="A156" s="90" t="s">
        <v>200</v>
      </c>
      <c r="B156" s="90" t="s">
        <v>83</v>
      </c>
      <c r="C156" s="90" t="s">
        <v>83</v>
      </c>
      <c r="D156" s="90" t="s">
        <v>83</v>
      </c>
      <c r="E156" s="90" t="s">
        <v>83</v>
      </c>
    </row>
    <row r="157" spans="1:5" x14ac:dyDescent="0.2">
      <c r="A157" s="90" t="s">
        <v>201</v>
      </c>
      <c r="B157" s="91">
        <v>89.290999999999997</v>
      </c>
      <c r="C157" s="91">
        <v>86.465000000000003</v>
      </c>
      <c r="D157" s="91">
        <v>83.882999999999996</v>
      </c>
      <c r="E157" s="91">
        <v>81.346000000000004</v>
      </c>
    </row>
    <row r="158" spans="1:5" x14ac:dyDescent="0.2">
      <c r="A158" s="90" t="s">
        <v>202</v>
      </c>
      <c r="B158" s="91">
        <v>6530712090</v>
      </c>
      <c r="C158" s="91">
        <v>7801692542</v>
      </c>
      <c r="D158" s="91">
        <v>6858444350</v>
      </c>
      <c r="E158" s="91">
        <v>5112922701</v>
      </c>
    </row>
    <row r="159" spans="1:5" x14ac:dyDescent="0.2">
      <c r="A159" s="90" t="s">
        <v>203</v>
      </c>
      <c r="B159" s="90" t="s">
        <v>83</v>
      </c>
      <c r="C159" s="90" t="s">
        <v>83</v>
      </c>
      <c r="D159" s="90" t="s">
        <v>83</v>
      </c>
      <c r="E159" s="90" t="s">
        <v>83</v>
      </c>
    </row>
    <row r="160" spans="1:5" x14ac:dyDescent="0.2">
      <c r="A160" s="90" t="s">
        <v>204</v>
      </c>
      <c r="B160" s="91">
        <v>0</v>
      </c>
      <c r="C160" s="91">
        <v>0</v>
      </c>
      <c r="D160" s="91">
        <v>0</v>
      </c>
      <c r="E160" s="91">
        <v>0</v>
      </c>
    </row>
    <row r="161" spans="1:5" x14ac:dyDescent="0.2">
      <c r="A161" s="90" t="s">
        <v>205</v>
      </c>
      <c r="B161" s="91">
        <v>3948</v>
      </c>
      <c r="C161" s="91">
        <v>6737</v>
      </c>
      <c r="D161" s="91">
        <v>4337</v>
      </c>
      <c r="E161" s="91">
        <v>6021</v>
      </c>
    </row>
    <row r="162" spans="1:5" x14ac:dyDescent="0.2">
      <c r="A162" s="90" t="s">
        <v>206</v>
      </c>
      <c r="B162" s="91">
        <v>6461</v>
      </c>
      <c r="C162" s="91">
        <v>4051</v>
      </c>
      <c r="D162" s="91">
        <v>4771</v>
      </c>
      <c r="E162" s="91">
        <v>12287</v>
      </c>
    </row>
    <row r="163" spans="1:5" x14ac:dyDescent="0.2">
      <c r="A163" s="90" t="s">
        <v>207</v>
      </c>
      <c r="B163" s="91">
        <v>3787</v>
      </c>
      <c r="C163" s="91">
        <v>4483</v>
      </c>
      <c r="D163" s="91">
        <v>9780</v>
      </c>
      <c r="E163" s="91">
        <v>3026</v>
      </c>
    </row>
    <row r="164" spans="1:5" x14ac:dyDescent="0.2">
      <c r="A164" s="90" t="s">
        <v>208</v>
      </c>
      <c r="B164" s="91">
        <v>4220</v>
      </c>
      <c r="C164" s="91">
        <v>9489</v>
      </c>
      <c r="D164" s="91">
        <v>1787</v>
      </c>
      <c r="E164" s="91">
        <v>4514</v>
      </c>
    </row>
    <row r="165" spans="1:5" x14ac:dyDescent="0.2">
      <c r="A165" s="90" t="s">
        <v>209</v>
      </c>
      <c r="B165" s="90" t="s">
        <v>83</v>
      </c>
      <c r="C165" s="90" t="s">
        <v>83</v>
      </c>
      <c r="D165" s="90" t="s">
        <v>83</v>
      </c>
      <c r="E165" s="90" t="s">
        <v>83</v>
      </c>
    </row>
    <row r="166" spans="1:5" x14ac:dyDescent="0.2">
      <c r="A166" s="90" t="s">
        <v>210</v>
      </c>
      <c r="B166" s="91">
        <v>11750</v>
      </c>
      <c r="C166" s="91">
        <v>13842</v>
      </c>
      <c r="D166" s="91">
        <v>15870</v>
      </c>
      <c r="E166" s="91">
        <v>24796</v>
      </c>
    </row>
    <row r="167" spans="1:5" x14ac:dyDescent="0.2">
      <c r="A167" s="90" t="s">
        <v>211</v>
      </c>
      <c r="B167" s="91">
        <v>0</v>
      </c>
      <c r="C167" s="91">
        <v>0</v>
      </c>
      <c r="D167" s="91">
        <v>0</v>
      </c>
      <c r="E167" s="91">
        <v>0</v>
      </c>
    </row>
    <row r="168" spans="1:5" x14ac:dyDescent="0.2">
      <c r="A168" s="90" t="s">
        <v>212</v>
      </c>
      <c r="B168" s="91">
        <v>2.19</v>
      </c>
      <c r="C168" s="91">
        <v>2.42</v>
      </c>
      <c r="D168" s="91">
        <v>2.66</v>
      </c>
      <c r="E168" s="91">
        <v>2.93</v>
      </c>
    </row>
    <row r="169" spans="1:5" x14ac:dyDescent="0.2">
      <c r="A169" s="90" t="s">
        <v>213</v>
      </c>
      <c r="B169" s="91">
        <v>16871</v>
      </c>
      <c r="C169" s="91">
        <v>18552</v>
      </c>
      <c r="D169" s="91">
        <v>20226</v>
      </c>
      <c r="E169" s="91">
        <v>22293</v>
      </c>
    </row>
    <row r="170" spans="1:5" x14ac:dyDescent="0.2">
      <c r="A170" s="90" t="s">
        <v>214</v>
      </c>
      <c r="B170" s="91">
        <v>0</v>
      </c>
      <c r="C170" s="91">
        <v>0</v>
      </c>
      <c r="D170" s="91">
        <v>0</v>
      </c>
      <c r="E170" s="91">
        <v>0</v>
      </c>
    </row>
    <row r="171" spans="1:5" x14ac:dyDescent="0.2">
      <c r="A171" s="90" t="s">
        <v>215</v>
      </c>
      <c r="B171" s="91">
        <v>181</v>
      </c>
      <c r="C171" s="91">
        <v>221</v>
      </c>
      <c r="D171" s="91">
        <v>221</v>
      </c>
      <c r="E171" s="91">
        <v>228</v>
      </c>
    </row>
    <row r="172" spans="1:5" x14ac:dyDescent="0.2">
      <c r="A172" s="90" t="s">
        <v>216</v>
      </c>
      <c r="B172" s="91">
        <v>333779</v>
      </c>
      <c r="C172" s="91">
        <v>364840</v>
      </c>
      <c r="D172" s="91">
        <v>411976</v>
      </c>
      <c r="E172" s="91">
        <v>512163</v>
      </c>
    </row>
    <row r="173" spans="1:5" x14ac:dyDescent="0.2">
      <c r="A173" s="90" t="s">
        <v>217</v>
      </c>
      <c r="B173" s="90" t="s">
        <v>83</v>
      </c>
      <c r="C173" s="90" t="s">
        <v>83</v>
      </c>
      <c r="D173" s="90" t="s">
        <v>83</v>
      </c>
      <c r="E173" s="90" t="s">
        <v>83</v>
      </c>
    </row>
    <row r="174" spans="1:5" x14ac:dyDescent="0.2">
      <c r="A174" s="90" t="s">
        <v>218</v>
      </c>
      <c r="B174" s="91">
        <v>54</v>
      </c>
      <c r="C174" s="91">
        <v>-75</v>
      </c>
      <c r="D174" s="91">
        <v>181</v>
      </c>
      <c r="E174" s="91">
        <v>-244</v>
      </c>
    </row>
    <row r="175" spans="1:5" x14ac:dyDescent="0.2">
      <c r="A175" s="90" t="s">
        <v>219</v>
      </c>
      <c r="B175" s="91">
        <v>0</v>
      </c>
      <c r="C175" s="91">
        <v>0</v>
      </c>
      <c r="D175" s="91">
        <v>0</v>
      </c>
      <c r="E175" s="91">
        <v>0</v>
      </c>
    </row>
    <row r="176" spans="1:5" x14ac:dyDescent="0.2">
      <c r="A176" s="90" t="s">
        <v>220</v>
      </c>
      <c r="B176" s="90" t="s">
        <v>83</v>
      </c>
      <c r="C176" s="90" t="s">
        <v>83</v>
      </c>
      <c r="D176" s="90" t="s">
        <v>83</v>
      </c>
      <c r="E176" s="90" t="s">
        <v>83</v>
      </c>
    </row>
    <row r="177" spans="1:5" x14ac:dyDescent="0.2">
      <c r="A177" s="90" t="s">
        <v>221</v>
      </c>
      <c r="B177" s="90" t="s">
        <v>83</v>
      </c>
      <c r="C177" s="90" t="s">
        <v>83</v>
      </c>
      <c r="D177" s="90" t="s">
        <v>83</v>
      </c>
      <c r="E177" s="90" t="s">
        <v>83</v>
      </c>
    </row>
    <row r="178" spans="1:5" x14ac:dyDescent="0.2">
      <c r="A178" s="90" t="s">
        <v>222</v>
      </c>
      <c r="B178" s="91">
        <v>0</v>
      </c>
      <c r="C178" s="91">
        <v>0</v>
      </c>
      <c r="D178" s="91">
        <v>0</v>
      </c>
      <c r="E178" s="91">
        <v>0</v>
      </c>
    </row>
    <row r="179" spans="1:5" x14ac:dyDescent="0.2">
      <c r="A179" s="90" t="s">
        <v>223</v>
      </c>
      <c r="B179" s="90" t="s">
        <v>83</v>
      </c>
      <c r="C179" s="90" t="s">
        <v>83</v>
      </c>
      <c r="D179" s="90" t="s">
        <v>83</v>
      </c>
      <c r="E179" s="90" t="s">
        <v>83</v>
      </c>
    </row>
    <row r="180" spans="1:5" x14ac:dyDescent="0.2">
      <c r="A180" s="90" t="s">
        <v>224</v>
      </c>
      <c r="B180" s="91">
        <v>0</v>
      </c>
      <c r="C180" s="91">
        <v>0</v>
      </c>
      <c r="D180" s="91">
        <v>0</v>
      </c>
      <c r="E180" s="91">
        <v>0</v>
      </c>
    </row>
    <row r="181" spans="1:5" x14ac:dyDescent="0.2">
      <c r="A181" s="90" t="s">
        <v>225</v>
      </c>
      <c r="B181" s="90" t="s">
        <v>83</v>
      </c>
      <c r="C181" s="90" t="s">
        <v>83</v>
      </c>
      <c r="D181" s="90" t="s">
        <v>83</v>
      </c>
      <c r="E181" s="90" t="s">
        <v>83</v>
      </c>
    </row>
    <row r="182" spans="1:5" x14ac:dyDescent="0.2">
      <c r="A182" s="90" t="s">
        <v>226</v>
      </c>
      <c r="B182" s="91">
        <v>0</v>
      </c>
      <c r="C182" s="91">
        <v>0</v>
      </c>
      <c r="D182" s="91">
        <v>0</v>
      </c>
      <c r="E182" s="91">
        <v>0</v>
      </c>
    </row>
    <row r="183" spans="1:5" x14ac:dyDescent="0.2">
      <c r="A183" s="90" t="s">
        <v>227</v>
      </c>
      <c r="B183" s="91">
        <v>0</v>
      </c>
      <c r="C183" s="91">
        <v>0</v>
      </c>
      <c r="D183" s="91">
        <v>0</v>
      </c>
      <c r="E183" s="91">
        <v>0</v>
      </c>
    </row>
    <row r="184" spans="1:5" x14ac:dyDescent="0.2">
      <c r="A184" s="90" t="s">
        <v>228</v>
      </c>
      <c r="B184" s="91">
        <v>0</v>
      </c>
      <c r="C184" s="91">
        <v>0</v>
      </c>
      <c r="D184" s="91">
        <v>0</v>
      </c>
      <c r="E184" s="91">
        <v>0</v>
      </c>
    </row>
    <row r="185" spans="1:5" x14ac:dyDescent="0.2">
      <c r="A185" s="90" t="s">
        <v>229</v>
      </c>
      <c r="B185" s="91">
        <v>17972</v>
      </c>
      <c r="C185" s="91">
        <v>21922</v>
      </c>
      <c r="D185" s="91">
        <v>22883</v>
      </c>
      <c r="E185" s="91">
        <v>28555</v>
      </c>
    </row>
    <row r="186" spans="1:5" x14ac:dyDescent="0.2">
      <c r="A186" s="90" t="s">
        <v>230</v>
      </c>
      <c r="B186" s="91">
        <v>336.32</v>
      </c>
      <c r="C186" s="91">
        <v>239.82</v>
      </c>
      <c r="D186" s="91">
        <v>376.04</v>
      </c>
      <c r="E186" s="91">
        <v>421.5</v>
      </c>
    </row>
    <row r="187" spans="1:5" x14ac:dyDescent="0.2">
      <c r="A187" s="90" t="s">
        <v>231</v>
      </c>
      <c r="B187" s="91">
        <v>349.67</v>
      </c>
      <c r="C187" s="91">
        <v>338</v>
      </c>
      <c r="D187" s="91">
        <v>384.3</v>
      </c>
      <c r="E187" s="91">
        <v>468.35</v>
      </c>
    </row>
    <row r="188" spans="1:5" x14ac:dyDescent="0.2">
      <c r="A188" s="90" t="s">
        <v>232</v>
      </c>
      <c r="B188" s="91">
        <v>211.94</v>
      </c>
      <c r="C188" s="91">
        <v>213.43100000000001</v>
      </c>
      <c r="D188" s="91">
        <v>219.35</v>
      </c>
      <c r="E188" s="91">
        <v>366.5</v>
      </c>
    </row>
    <row r="189" spans="1:5" x14ac:dyDescent="0.2">
      <c r="A189" s="90" t="s">
        <v>233</v>
      </c>
      <c r="B189" s="91">
        <v>270.89999999999998</v>
      </c>
      <c r="C189" s="91">
        <v>256.83</v>
      </c>
      <c r="D189" s="91">
        <v>340.54</v>
      </c>
      <c r="E189" s="91">
        <v>446.95</v>
      </c>
    </row>
    <row r="190" spans="1:5" x14ac:dyDescent="0.2">
      <c r="A190" s="90" t="s">
        <v>234</v>
      </c>
      <c r="B190" s="91">
        <v>751</v>
      </c>
      <c r="C190" s="91">
        <v>633</v>
      </c>
      <c r="D190" s="91">
        <v>650</v>
      </c>
      <c r="E190" s="91">
        <v>830</v>
      </c>
    </row>
    <row r="191" spans="1:5" x14ac:dyDescent="0.2">
      <c r="A191" s="90" t="s">
        <v>235</v>
      </c>
      <c r="B191" s="91">
        <v>2125</v>
      </c>
      <c r="C191" s="91">
        <v>2456</v>
      </c>
      <c r="D191" s="91">
        <v>2784</v>
      </c>
      <c r="E191" s="91">
        <v>4124</v>
      </c>
    </row>
    <row r="192" spans="1:5" x14ac:dyDescent="0.2">
      <c r="A192" s="90" t="s">
        <v>236</v>
      </c>
      <c r="B192" s="91">
        <v>1954</v>
      </c>
      <c r="C192" s="91">
        <v>2278</v>
      </c>
      <c r="D192" s="91">
        <v>2508</v>
      </c>
      <c r="E192" s="91">
        <v>3549</v>
      </c>
    </row>
    <row r="193" spans="1:5" x14ac:dyDescent="0.2">
      <c r="A193" s="90" t="s">
        <v>237</v>
      </c>
      <c r="B193" s="91">
        <v>1751</v>
      </c>
      <c r="C193" s="91">
        <v>1985</v>
      </c>
      <c r="D193" s="91">
        <v>2142</v>
      </c>
      <c r="E193" s="91">
        <v>2981</v>
      </c>
    </row>
    <row r="194" spans="1:5" x14ac:dyDescent="0.2">
      <c r="A194" s="90" t="s">
        <v>238</v>
      </c>
      <c r="B194" s="91">
        <v>1463</v>
      </c>
      <c r="C194" s="91">
        <v>1625</v>
      </c>
      <c r="D194" s="91">
        <v>1757</v>
      </c>
      <c r="E194" s="91">
        <v>2405</v>
      </c>
    </row>
    <row r="195" spans="1:5" x14ac:dyDescent="0.2">
      <c r="A195" s="90" t="s">
        <v>239</v>
      </c>
      <c r="B195" s="91">
        <v>1133</v>
      </c>
      <c r="C195" s="91">
        <v>1328</v>
      </c>
      <c r="D195" s="91">
        <v>1582</v>
      </c>
      <c r="E195" s="91">
        <v>1924</v>
      </c>
    </row>
    <row r="196" spans="1:5" x14ac:dyDescent="0.2">
      <c r="A196" s="90" t="s">
        <v>240</v>
      </c>
      <c r="B196" s="91">
        <v>2127</v>
      </c>
      <c r="C196" s="91">
        <v>2461</v>
      </c>
      <c r="D196" s="91">
        <v>2875</v>
      </c>
      <c r="E196" s="91">
        <v>3555</v>
      </c>
    </row>
    <row r="197" spans="1:5" x14ac:dyDescent="0.2">
      <c r="A197" s="90" t="s">
        <v>241</v>
      </c>
      <c r="B197" s="90" t="s">
        <v>83</v>
      </c>
      <c r="C197" s="90" t="s">
        <v>83</v>
      </c>
      <c r="D197" s="90" t="s">
        <v>83</v>
      </c>
      <c r="E197" s="90" t="s">
        <v>83</v>
      </c>
    </row>
    <row r="198" spans="1:5" x14ac:dyDescent="0.2">
      <c r="A198" s="90" t="s">
        <v>242</v>
      </c>
      <c r="B198" s="91">
        <v>20716</v>
      </c>
      <c r="C198" s="91">
        <v>24512</v>
      </c>
      <c r="D198" s="91">
        <v>27195</v>
      </c>
      <c r="E198" s="91">
        <v>29510</v>
      </c>
    </row>
    <row r="199" spans="1:5" x14ac:dyDescent="0.2">
      <c r="A199" s="90" t="s">
        <v>243</v>
      </c>
      <c r="B199" s="91">
        <v>3604</v>
      </c>
      <c r="C199" s="91">
        <v>3718</v>
      </c>
      <c r="D199" s="91">
        <v>4009</v>
      </c>
      <c r="E199" s="91">
        <v>3975</v>
      </c>
    </row>
    <row r="200" spans="1:5" x14ac:dyDescent="0.2">
      <c r="A200" s="90" t="s">
        <v>244</v>
      </c>
      <c r="B200" s="91">
        <v>0</v>
      </c>
      <c r="C200" s="91">
        <v>0</v>
      </c>
      <c r="D200" s="91">
        <v>0</v>
      </c>
      <c r="E200" s="91">
        <v>0</v>
      </c>
    </row>
    <row r="201" spans="1:5" x14ac:dyDescent="0.2">
      <c r="A201" s="90" t="s">
        <v>245</v>
      </c>
      <c r="B201" s="91">
        <v>0</v>
      </c>
      <c r="C201" s="91">
        <v>0</v>
      </c>
      <c r="D201" s="91">
        <v>0</v>
      </c>
      <c r="E201" s="91">
        <v>0</v>
      </c>
    </row>
    <row r="202" spans="1:5" x14ac:dyDescent="0.2">
      <c r="A202" s="90" t="s">
        <v>246</v>
      </c>
      <c r="B202" s="91">
        <v>0</v>
      </c>
      <c r="C202" s="91">
        <v>0</v>
      </c>
      <c r="D202" s="91">
        <v>0</v>
      </c>
      <c r="E202" s="91">
        <v>0</v>
      </c>
    </row>
    <row r="203" spans="1:5" x14ac:dyDescent="0.2">
      <c r="A203" s="88"/>
    </row>
    <row r="204" spans="1:5" x14ac:dyDescent="0.2">
      <c r="A204" s="89" t="s">
        <v>332</v>
      </c>
    </row>
    <row r="205" spans="1:5" x14ac:dyDescent="0.2">
      <c r="A205" s="90" t="s">
        <v>247</v>
      </c>
      <c r="B205" s="91">
        <v>38043</v>
      </c>
      <c r="C205" s="91">
        <v>44261</v>
      </c>
      <c r="D205" s="91">
        <v>48688</v>
      </c>
      <c r="E205" s="91">
        <v>56924</v>
      </c>
    </row>
    <row r="206" spans="1:5" x14ac:dyDescent="0.2">
      <c r="A206" s="90" t="s">
        <v>248</v>
      </c>
      <c r="B206" s="91">
        <v>0</v>
      </c>
      <c r="C206" s="91">
        <v>0</v>
      </c>
      <c r="D206" s="91">
        <v>0</v>
      </c>
      <c r="E206" s="91">
        <v>0</v>
      </c>
    </row>
    <row r="207" spans="1:5" x14ac:dyDescent="0.2">
      <c r="A207" s="90" t="s">
        <v>249</v>
      </c>
      <c r="B207" s="91">
        <v>0</v>
      </c>
      <c r="C207" s="91">
        <v>6100</v>
      </c>
      <c r="D207" s="91">
        <v>9200</v>
      </c>
      <c r="E207" s="91">
        <v>10500</v>
      </c>
    </row>
    <row r="208" spans="1:5" x14ac:dyDescent="0.2">
      <c r="A208" s="90" t="s">
        <v>250</v>
      </c>
      <c r="B208" s="91">
        <v>38043</v>
      </c>
      <c r="C208" s="91">
        <v>50361</v>
      </c>
      <c r="D208" s="91">
        <v>57888</v>
      </c>
      <c r="E208" s="91">
        <v>67424</v>
      </c>
    </row>
    <row r="209" spans="1:5" x14ac:dyDescent="0.2">
      <c r="A209" s="90" t="s">
        <v>251</v>
      </c>
      <c r="B209" s="91">
        <v>1190</v>
      </c>
      <c r="C209" s="91">
        <v>1144</v>
      </c>
      <c r="D209" s="91">
        <v>709</v>
      </c>
      <c r="E209" s="91">
        <v>394</v>
      </c>
    </row>
    <row r="210" spans="1:5" x14ac:dyDescent="0.2">
      <c r="A210" s="90" t="s">
        <v>252</v>
      </c>
      <c r="B210" s="91">
        <v>79</v>
      </c>
      <c r="C210" s="91">
        <v>82</v>
      </c>
      <c r="D210" s="91">
        <v>23</v>
      </c>
      <c r="E210" s="91">
        <v>7</v>
      </c>
    </row>
    <row r="211" spans="1:5" x14ac:dyDescent="0.2">
      <c r="A211" s="90" t="s">
        <v>253</v>
      </c>
      <c r="B211" s="91">
        <v>1367</v>
      </c>
      <c r="C211" s="91">
        <v>2516</v>
      </c>
      <c r="D211" s="91">
        <v>1768</v>
      </c>
      <c r="E211" s="91">
        <v>845</v>
      </c>
    </row>
    <row r="212" spans="1:5" x14ac:dyDescent="0.2">
      <c r="A212" s="90" t="s">
        <v>254</v>
      </c>
      <c r="B212" s="91">
        <v>0</v>
      </c>
      <c r="C212" s="91">
        <v>0</v>
      </c>
      <c r="D212" s="91">
        <v>0</v>
      </c>
      <c r="E212" s="91">
        <v>0</v>
      </c>
    </row>
    <row r="213" spans="1:5" x14ac:dyDescent="0.2">
      <c r="A213" s="90" t="s">
        <v>66</v>
      </c>
      <c r="B213" s="91">
        <v>2636</v>
      </c>
      <c r="C213" s="91">
        <v>3742</v>
      </c>
      <c r="D213" s="91">
        <v>2500</v>
      </c>
      <c r="E213" s="91">
        <v>1246</v>
      </c>
    </row>
    <row r="214" spans="1:5" x14ac:dyDescent="0.2">
      <c r="A214" s="90" t="s">
        <v>255</v>
      </c>
      <c r="B214" s="91">
        <v>0</v>
      </c>
      <c r="C214" s="91">
        <v>0</v>
      </c>
      <c r="D214" s="91">
        <v>0</v>
      </c>
      <c r="E214" s="91">
        <v>0</v>
      </c>
    </row>
    <row r="215" spans="1:5" x14ac:dyDescent="0.2">
      <c r="A215" s="90" t="s">
        <v>256</v>
      </c>
      <c r="B215" s="91">
        <v>0</v>
      </c>
      <c r="C215" s="91">
        <v>0</v>
      </c>
      <c r="D215" s="91">
        <v>0</v>
      </c>
      <c r="E215" s="91">
        <v>0</v>
      </c>
    </row>
    <row r="216" spans="1:5" x14ac:dyDescent="0.2">
      <c r="A216" s="90" t="s">
        <v>257</v>
      </c>
      <c r="B216" s="91">
        <v>0</v>
      </c>
      <c r="C216" s="91">
        <v>0</v>
      </c>
      <c r="D216" s="91">
        <v>0</v>
      </c>
      <c r="E216" s="91">
        <v>0</v>
      </c>
    </row>
    <row r="217" spans="1:5" x14ac:dyDescent="0.2">
      <c r="A217" s="90" t="s">
        <v>258</v>
      </c>
      <c r="B217" s="91">
        <v>0</v>
      </c>
      <c r="C217" s="91">
        <v>0</v>
      </c>
      <c r="D217" s="91">
        <v>0</v>
      </c>
      <c r="E217" s="91">
        <v>0</v>
      </c>
    </row>
    <row r="218" spans="1:5" x14ac:dyDescent="0.2">
      <c r="A218" s="90" t="s">
        <v>259</v>
      </c>
      <c r="B218" s="91">
        <v>0</v>
      </c>
      <c r="C218" s="91">
        <v>0</v>
      </c>
      <c r="D218" s="91">
        <v>0</v>
      </c>
      <c r="E218" s="91">
        <v>0</v>
      </c>
    </row>
    <row r="219" spans="1:5" x14ac:dyDescent="0.2">
      <c r="A219" s="90" t="s">
        <v>260</v>
      </c>
      <c r="B219" s="91">
        <v>0</v>
      </c>
      <c r="C219" s="91">
        <v>0</v>
      </c>
      <c r="D219" s="91">
        <v>0</v>
      </c>
      <c r="E219" s="91">
        <v>0</v>
      </c>
    </row>
    <row r="220" spans="1:5" x14ac:dyDescent="0.2">
      <c r="A220" s="90" t="s">
        <v>261</v>
      </c>
      <c r="B220" s="91">
        <v>59703</v>
      </c>
      <c r="C220" s="91">
        <v>58521</v>
      </c>
      <c r="D220" s="91">
        <v>54718</v>
      </c>
      <c r="E220" s="91">
        <v>58185</v>
      </c>
    </row>
    <row r="221" spans="1:5" x14ac:dyDescent="0.2">
      <c r="A221" s="90" t="s">
        <v>262</v>
      </c>
      <c r="B221" s="91">
        <v>11750</v>
      </c>
      <c r="C221" s="91">
        <v>13842</v>
      </c>
      <c r="D221" s="91">
        <v>15870</v>
      </c>
      <c r="E221" s="91">
        <v>24796</v>
      </c>
    </row>
    <row r="222" spans="1:5" x14ac:dyDescent="0.2">
      <c r="A222" s="90" t="s">
        <v>263</v>
      </c>
      <c r="B222" s="91">
        <v>71453</v>
      </c>
      <c r="C222" s="91">
        <v>72363</v>
      </c>
      <c r="D222" s="91">
        <v>70588</v>
      </c>
      <c r="E222" s="91">
        <v>82981</v>
      </c>
    </row>
    <row r="223" spans="1:5" x14ac:dyDescent="0.2">
      <c r="A223" s="88" t="s">
        <v>264</v>
      </c>
    </row>
    <row r="224" spans="1:5" x14ac:dyDescent="0.2">
      <c r="A224" s="90" t="s">
        <v>265</v>
      </c>
      <c r="B224" s="90" t="s">
        <v>83</v>
      </c>
      <c r="C224" s="90" t="s">
        <v>83</v>
      </c>
      <c r="D224" s="90" t="s">
        <v>83</v>
      </c>
      <c r="E224" s="90" t="s">
        <v>83</v>
      </c>
    </row>
    <row r="225" spans="1:5" x14ac:dyDescent="0.2">
      <c r="A225" s="90" t="s">
        <v>176</v>
      </c>
      <c r="B225" s="91">
        <v>20622</v>
      </c>
      <c r="C225" s="91">
        <v>23886</v>
      </c>
      <c r="D225" s="91">
        <v>28107</v>
      </c>
      <c r="E225" s="91">
        <v>44477</v>
      </c>
    </row>
    <row r="226" spans="1:5" x14ac:dyDescent="0.2">
      <c r="A226" s="90" t="s">
        <v>266</v>
      </c>
      <c r="B226" s="90" t="s">
        <v>83</v>
      </c>
      <c r="C226" s="90" t="s">
        <v>83</v>
      </c>
      <c r="D226" s="90" t="s">
        <v>83</v>
      </c>
      <c r="E226" s="90" t="s">
        <v>83</v>
      </c>
    </row>
    <row r="227" spans="1:5" x14ac:dyDescent="0.2">
      <c r="A227" s="90" t="s">
        <v>267</v>
      </c>
      <c r="B227" s="90" t="s">
        <v>83</v>
      </c>
      <c r="C227" s="90" t="s">
        <v>83</v>
      </c>
      <c r="D227" s="90" t="s">
        <v>83</v>
      </c>
      <c r="E227" s="90" t="s">
        <v>83</v>
      </c>
    </row>
    <row r="228" spans="1:5" x14ac:dyDescent="0.2">
      <c r="A228" s="90" t="s">
        <v>268</v>
      </c>
      <c r="B228" s="91">
        <v>122154</v>
      </c>
      <c r="C228" s="91">
        <v>147206</v>
      </c>
      <c r="D228" s="91">
        <v>178238</v>
      </c>
      <c r="E228" s="91">
        <v>230973</v>
      </c>
    </row>
    <row r="229" spans="1:5" x14ac:dyDescent="0.2">
      <c r="A229" s="88" t="s">
        <v>269</v>
      </c>
    </row>
    <row r="230" spans="1:5" x14ac:dyDescent="0.2">
      <c r="A230" s="90" t="s">
        <v>265</v>
      </c>
      <c r="B230" s="90" t="s">
        <v>83</v>
      </c>
      <c r="C230" s="90" t="s">
        <v>83</v>
      </c>
      <c r="D230" s="90" t="s">
        <v>83</v>
      </c>
      <c r="E230" s="90" t="s">
        <v>83</v>
      </c>
    </row>
    <row r="231" spans="1:5" x14ac:dyDescent="0.2">
      <c r="A231" s="90" t="s">
        <v>270</v>
      </c>
      <c r="B231" s="90" t="s">
        <v>83</v>
      </c>
      <c r="C231" s="90" t="s">
        <v>83</v>
      </c>
      <c r="D231" s="90" t="s">
        <v>83</v>
      </c>
      <c r="E231" s="90" t="s">
        <v>83</v>
      </c>
    </row>
    <row r="232" spans="1:5" x14ac:dyDescent="0.2">
      <c r="A232" s="90" t="s">
        <v>271</v>
      </c>
      <c r="B232" s="90" t="s">
        <v>83</v>
      </c>
      <c r="C232" s="90" t="s">
        <v>83</v>
      </c>
      <c r="D232" s="90" t="s">
        <v>83</v>
      </c>
      <c r="E232" s="90" t="s">
        <v>83</v>
      </c>
    </row>
    <row r="233" spans="1:5" x14ac:dyDescent="0.2">
      <c r="A233" s="90" t="s">
        <v>266</v>
      </c>
      <c r="B233" s="90" t="s">
        <v>83</v>
      </c>
      <c r="C233" s="90" t="s">
        <v>83</v>
      </c>
      <c r="D233" s="90" t="s">
        <v>83</v>
      </c>
      <c r="E233" s="90" t="s">
        <v>83</v>
      </c>
    </row>
    <row r="234" spans="1:5" x14ac:dyDescent="0.2">
      <c r="A234" s="90" t="s">
        <v>267</v>
      </c>
      <c r="B234" s="90" t="s">
        <v>83</v>
      </c>
      <c r="C234" s="90" t="s">
        <v>83</v>
      </c>
      <c r="D234" s="90" t="s">
        <v>83</v>
      </c>
      <c r="E234" s="90" t="s">
        <v>83</v>
      </c>
    </row>
    <row r="235" spans="1:5" x14ac:dyDescent="0.2">
      <c r="A235" s="90" t="s">
        <v>268</v>
      </c>
      <c r="B235" s="91">
        <v>51351</v>
      </c>
      <c r="C235" s="91">
        <v>59660</v>
      </c>
      <c r="D235" s="91">
        <v>68251</v>
      </c>
      <c r="E235" s="91">
        <v>76421</v>
      </c>
    </row>
    <row r="236" spans="1:5" x14ac:dyDescent="0.2">
      <c r="A236" s="90" t="s">
        <v>272</v>
      </c>
      <c r="B236" s="91">
        <v>25</v>
      </c>
      <c r="C236" s="91">
        <v>-4815</v>
      </c>
      <c r="D236" s="91">
        <v>-6146</v>
      </c>
      <c r="E236" s="91">
        <v>-4791</v>
      </c>
    </row>
    <row r="237" spans="1:5" x14ac:dyDescent="0.2">
      <c r="A237" s="90" t="s">
        <v>273</v>
      </c>
      <c r="B237" s="91">
        <v>29</v>
      </c>
      <c r="C237" s="91">
        <v>175</v>
      </c>
      <c r="D237" s="91">
        <v>564</v>
      </c>
      <c r="E237" s="91">
        <v>432</v>
      </c>
    </row>
    <row r="238" spans="1:5" x14ac:dyDescent="0.2">
      <c r="A238" s="90" t="s">
        <v>274</v>
      </c>
      <c r="B238" s="91">
        <v>-204</v>
      </c>
      <c r="C238" s="91">
        <v>-1062</v>
      </c>
      <c r="D238" s="91">
        <v>-477</v>
      </c>
      <c r="E238" s="91">
        <v>-379</v>
      </c>
    </row>
    <row r="239" spans="1:5" x14ac:dyDescent="0.2">
      <c r="A239" s="90" t="s">
        <v>275</v>
      </c>
      <c r="B239" s="91">
        <v>3285</v>
      </c>
      <c r="C239" s="91">
        <v>8329</v>
      </c>
      <c r="D239" s="91">
        <v>14009</v>
      </c>
      <c r="E239" s="91">
        <v>12165</v>
      </c>
    </row>
    <row r="240" spans="1:5" x14ac:dyDescent="0.2">
      <c r="A240" s="90" t="s">
        <v>276</v>
      </c>
      <c r="B240" s="91">
        <v>5467</v>
      </c>
      <c r="C240" s="91">
        <v>6672</v>
      </c>
      <c r="D240" s="91">
        <v>6678</v>
      </c>
      <c r="E240" s="91">
        <v>9858</v>
      </c>
    </row>
    <row r="241" spans="1:5" x14ac:dyDescent="0.2">
      <c r="A241" s="90" t="s">
        <v>277</v>
      </c>
      <c r="B241" s="91">
        <v>1229</v>
      </c>
      <c r="C241" s="91">
        <v>1679</v>
      </c>
      <c r="D241" s="91">
        <v>2322</v>
      </c>
      <c r="E241" s="91">
        <v>2366</v>
      </c>
    </row>
    <row r="242" spans="1:5" x14ac:dyDescent="0.2">
      <c r="A242" s="90" t="s">
        <v>278</v>
      </c>
      <c r="B242" s="91">
        <v>0</v>
      </c>
      <c r="C242" s="91">
        <v>0</v>
      </c>
      <c r="D242" s="91">
        <v>0</v>
      </c>
      <c r="E242" s="91">
        <v>0</v>
      </c>
    </row>
    <row r="243" spans="1:5" x14ac:dyDescent="0.2">
      <c r="A243" s="90" t="s">
        <v>141</v>
      </c>
      <c r="B243" s="91">
        <v>9831</v>
      </c>
      <c r="C243" s="91">
        <v>10978</v>
      </c>
      <c r="D243" s="91">
        <v>16950</v>
      </c>
      <c r="E243" s="91">
        <v>19651</v>
      </c>
    </row>
    <row r="244" spans="1:5" x14ac:dyDescent="0.2">
      <c r="A244" s="88" t="s">
        <v>279</v>
      </c>
    </row>
    <row r="245" spans="1:5" x14ac:dyDescent="0.2">
      <c r="A245" s="90" t="s">
        <v>280</v>
      </c>
      <c r="B245" s="90" t="s">
        <v>83</v>
      </c>
      <c r="C245" s="90" t="s">
        <v>83</v>
      </c>
      <c r="D245" s="90" t="s">
        <v>83</v>
      </c>
      <c r="E245" s="90" t="s">
        <v>83</v>
      </c>
    </row>
    <row r="246" spans="1:5" x14ac:dyDescent="0.2">
      <c r="A246" s="90" t="s">
        <v>281</v>
      </c>
      <c r="B246" s="90" t="s">
        <v>83</v>
      </c>
      <c r="C246" s="90" t="s">
        <v>83</v>
      </c>
      <c r="D246" s="90" t="s">
        <v>83</v>
      </c>
      <c r="E246" s="90" t="s">
        <v>83</v>
      </c>
    </row>
    <row r="247" spans="1:5" x14ac:dyDescent="0.2">
      <c r="A247" s="90" t="s">
        <v>282</v>
      </c>
      <c r="B247" s="90" t="s">
        <v>83</v>
      </c>
      <c r="C247" s="90" t="s">
        <v>83</v>
      </c>
      <c r="D247" s="90" t="s">
        <v>83</v>
      </c>
      <c r="E247" s="90" t="s">
        <v>83</v>
      </c>
    </row>
    <row r="248" spans="1:5" x14ac:dyDescent="0.2">
      <c r="A248" s="90" t="s">
        <v>283</v>
      </c>
      <c r="B248" s="90" t="s">
        <v>83</v>
      </c>
      <c r="C248" s="90" t="s">
        <v>83</v>
      </c>
      <c r="D248" s="90" t="s">
        <v>83</v>
      </c>
      <c r="E248" s="90" t="s">
        <v>83</v>
      </c>
    </row>
    <row r="249" spans="1:5" x14ac:dyDescent="0.2">
      <c r="A249" s="90" t="s">
        <v>284</v>
      </c>
      <c r="B249" s="90" t="s">
        <v>83</v>
      </c>
      <c r="C249" s="90" t="s">
        <v>83</v>
      </c>
      <c r="D249" s="90" t="s">
        <v>83</v>
      </c>
      <c r="E249" s="90" t="s">
        <v>83</v>
      </c>
    </row>
    <row r="250" spans="1:5" x14ac:dyDescent="0.2">
      <c r="A250" s="88"/>
    </row>
    <row r="251" spans="1:5" x14ac:dyDescent="0.2">
      <c r="A251" s="89" t="s">
        <v>331</v>
      </c>
    </row>
    <row r="252" spans="1:5" x14ac:dyDescent="0.2">
      <c r="A252" s="90" t="s">
        <v>285</v>
      </c>
      <c r="B252" s="91">
        <v>130334</v>
      </c>
      <c r="C252" s="91">
        <v>104757</v>
      </c>
      <c r="D252" s="91">
        <v>111262</v>
      </c>
      <c r="E252" s="91">
        <v>75543</v>
      </c>
    </row>
    <row r="253" spans="1:5" x14ac:dyDescent="0.2">
      <c r="A253" s="90" t="s">
        <v>250</v>
      </c>
      <c r="B253" s="91">
        <v>38043</v>
      </c>
      <c r="C253" s="91">
        <v>50361</v>
      </c>
      <c r="D253" s="91">
        <v>57888</v>
      </c>
      <c r="E253" s="91">
        <v>67424</v>
      </c>
    </row>
    <row r="254" spans="1:5" x14ac:dyDescent="0.2">
      <c r="A254" s="90" t="s">
        <v>66</v>
      </c>
      <c r="B254" s="91">
        <v>2636</v>
      </c>
      <c r="C254" s="91">
        <v>3742</v>
      </c>
      <c r="D254" s="91">
        <v>2500</v>
      </c>
      <c r="E254" s="91">
        <v>1246</v>
      </c>
    </row>
    <row r="255" spans="1:5" x14ac:dyDescent="0.2">
      <c r="A255" s="90" t="s">
        <v>286</v>
      </c>
      <c r="B255" s="91">
        <v>0</v>
      </c>
      <c r="C255" s="91">
        <v>0</v>
      </c>
      <c r="D255" s="91">
        <v>0</v>
      </c>
      <c r="E255" s="91">
        <v>0</v>
      </c>
    </row>
    <row r="256" spans="1:5" x14ac:dyDescent="0.2">
      <c r="A256" s="90" t="s">
        <v>71</v>
      </c>
      <c r="B256" s="91">
        <v>13393</v>
      </c>
      <c r="C256" s="91">
        <v>10824</v>
      </c>
      <c r="D256" s="91">
        <v>12607</v>
      </c>
      <c r="E256" s="91">
        <v>15521</v>
      </c>
    </row>
    <row r="257" spans="1:5" x14ac:dyDescent="0.2">
      <c r="A257" s="90" t="s">
        <v>74</v>
      </c>
      <c r="B257" s="91">
        <v>184406</v>
      </c>
      <c r="C257" s="91">
        <v>169684</v>
      </c>
      <c r="D257" s="91">
        <v>184257</v>
      </c>
      <c r="E257" s="91">
        <v>159734</v>
      </c>
    </row>
    <row r="258" spans="1:5" x14ac:dyDescent="0.2">
      <c r="A258" s="90" t="s">
        <v>287</v>
      </c>
      <c r="B258" s="91">
        <v>122154</v>
      </c>
      <c r="C258" s="91">
        <v>147206</v>
      </c>
      <c r="D258" s="91">
        <v>178238</v>
      </c>
      <c r="E258" s="91">
        <v>230973</v>
      </c>
    </row>
    <row r="259" spans="1:5" x14ac:dyDescent="0.2">
      <c r="A259" s="90" t="s">
        <v>288</v>
      </c>
      <c r="B259" s="91">
        <v>51351</v>
      </c>
      <c r="C259" s="91">
        <v>59660</v>
      </c>
      <c r="D259" s="91">
        <v>68251</v>
      </c>
      <c r="E259" s="91">
        <v>76421</v>
      </c>
    </row>
    <row r="260" spans="1:5" x14ac:dyDescent="0.2">
      <c r="A260" s="90" t="s">
        <v>289</v>
      </c>
      <c r="B260" s="91">
        <v>70803</v>
      </c>
      <c r="C260" s="91">
        <v>87546</v>
      </c>
      <c r="D260" s="91">
        <v>109987</v>
      </c>
      <c r="E260" s="91">
        <v>154552</v>
      </c>
    </row>
    <row r="261" spans="1:5" x14ac:dyDescent="0.2">
      <c r="A261" s="90" t="s">
        <v>290</v>
      </c>
      <c r="B261" s="90" t="s">
        <v>83</v>
      </c>
      <c r="C261" s="90" t="s">
        <v>83</v>
      </c>
      <c r="D261" s="90" t="s">
        <v>83</v>
      </c>
      <c r="E261" s="91">
        <v>6000</v>
      </c>
    </row>
    <row r="262" spans="1:5" x14ac:dyDescent="0.2">
      <c r="A262" s="90" t="s">
        <v>291</v>
      </c>
      <c r="B262" s="91">
        <v>9384</v>
      </c>
      <c r="C262" s="91">
        <v>10691</v>
      </c>
      <c r="D262" s="91">
        <v>14379</v>
      </c>
      <c r="E262" s="91">
        <v>13500</v>
      </c>
    </row>
    <row r="263" spans="1:5" x14ac:dyDescent="0.2">
      <c r="A263" s="90" t="s">
        <v>80</v>
      </c>
      <c r="B263" s="91">
        <v>57511</v>
      </c>
      <c r="C263" s="91">
        <v>78822</v>
      </c>
      <c r="D263" s="91">
        <v>77252</v>
      </c>
      <c r="E263" s="91">
        <v>146817</v>
      </c>
    </row>
    <row r="264" spans="1:5" x14ac:dyDescent="0.2">
      <c r="A264" s="90" t="s">
        <v>292</v>
      </c>
      <c r="B264" s="91">
        <v>0</v>
      </c>
      <c r="C264" s="91">
        <v>0</v>
      </c>
      <c r="D264" s="91">
        <v>0</v>
      </c>
      <c r="E264" s="91">
        <v>0</v>
      </c>
    </row>
    <row r="265" spans="1:5" x14ac:dyDescent="0.2">
      <c r="A265" s="90" t="s">
        <v>81</v>
      </c>
      <c r="B265" s="91">
        <v>11675</v>
      </c>
      <c r="C265" s="91">
        <v>18097</v>
      </c>
      <c r="D265" s="91">
        <v>26101</v>
      </c>
      <c r="E265" s="91">
        <v>31560</v>
      </c>
    </row>
    <row r="266" spans="1:5" x14ac:dyDescent="0.2">
      <c r="A266" s="90" t="s">
        <v>293</v>
      </c>
      <c r="B266" s="91">
        <v>333779</v>
      </c>
      <c r="C266" s="91">
        <v>364840</v>
      </c>
      <c r="D266" s="91">
        <v>411976</v>
      </c>
      <c r="E266" s="91">
        <v>512163</v>
      </c>
    </row>
    <row r="267" spans="1:5" x14ac:dyDescent="0.2">
      <c r="A267" s="90" t="s">
        <v>90</v>
      </c>
      <c r="B267" s="91">
        <v>15163</v>
      </c>
      <c r="C267" s="91">
        <v>19000</v>
      </c>
      <c r="D267" s="91">
        <v>18095</v>
      </c>
      <c r="E267" s="91">
        <v>21996</v>
      </c>
    </row>
    <row r="268" spans="1:5" x14ac:dyDescent="0.2">
      <c r="A268" s="90" t="s">
        <v>294</v>
      </c>
      <c r="B268" s="91">
        <v>0</v>
      </c>
      <c r="C268" s="91">
        <v>0</v>
      </c>
      <c r="D268" s="91">
        <v>0</v>
      </c>
      <c r="E268" s="91">
        <v>6693</v>
      </c>
    </row>
    <row r="269" spans="1:5" x14ac:dyDescent="0.2">
      <c r="A269" s="90" t="s">
        <v>295</v>
      </c>
      <c r="B269" s="91">
        <v>10057</v>
      </c>
      <c r="C269" s="91">
        <v>10661</v>
      </c>
      <c r="D269" s="91">
        <v>11009</v>
      </c>
      <c r="E269" s="91">
        <v>12564</v>
      </c>
    </row>
    <row r="270" spans="1:5" x14ac:dyDescent="0.2">
      <c r="A270" s="90" t="s">
        <v>296</v>
      </c>
      <c r="B270" s="91">
        <v>2174</v>
      </c>
      <c r="C270" s="91">
        <v>4067</v>
      </c>
      <c r="D270" s="91">
        <v>4152</v>
      </c>
      <c r="E270" s="91">
        <v>5017</v>
      </c>
    </row>
    <row r="271" spans="1:5" x14ac:dyDescent="0.2">
      <c r="A271" s="90" t="s">
        <v>297</v>
      </c>
      <c r="B271" s="91">
        <v>10825</v>
      </c>
      <c r="C271" s="91">
        <v>6037</v>
      </c>
      <c r="D271" s="91">
        <v>8853</v>
      </c>
      <c r="E271" s="91">
        <v>8178</v>
      </c>
    </row>
    <row r="272" spans="1:5" x14ac:dyDescent="0.2">
      <c r="A272" s="90" t="s">
        <v>298</v>
      </c>
      <c r="B272" s="91">
        <v>60495</v>
      </c>
      <c r="C272" s="91">
        <v>65978</v>
      </c>
      <c r="D272" s="91">
        <v>73049</v>
      </c>
      <c r="E272" s="91">
        <v>83402</v>
      </c>
    </row>
    <row r="273" spans="1:5" x14ac:dyDescent="0.2">
      <c r="A273" s="90" t="s">
        <v>299</v>
      </c>
      <c r="B273" s="91">
        <v>88657</v>
      </c>
      <c r="C273" s="91">
        <v>95082</v>
      </c>
      <c r="D273" s="91">
        <v>104149</v>
      </c>
      <c r="E273" s="91">
        <v>125286</v>
      </c>
    </row>
    <row r="274" spans="1:5" x14ac:dyDescent="0.2">
      <c r="A274" s="90" t="s">
        <v>300</v>
      </c>
      <c r="B274" s="91">
        <v>71453</v>
      </c>
      <c r="C274" s="91">
        <v>72363</v>
      </c>
      <c r="D274" s="91">
        <v>70588</v>
      </c>
      <c r="E274" s="91">
        <v>82981</v>
      </c>
    </row>
    <row r="275" spans="1:5" x14ac:dyDescent="0.2">
      <c r="A275" s="90" t="s">
        <v>301</v>
      </c>
      <c r="B275" s="91">
        <v>198</v>
      </c>
      <c r="C275" s="91">
        <v>230</v>
      </c>
      <c r="D275" s="91">
        <v>433</v>
      </c>
      <c r="E275" s="91">
        <v>2618</v>
      </c>
    </row>
    <row r="276" spans="1:5" x14ac:dyDescent="0.2">
      <c r="A276" s="90" t="s">
        <v>222</v>
      </c>
      <c r="B276" s="91">
        <v>0</v>
      </c>
      <c r="C276" s="91">
        <v>0</v>
      </c>
      <c r="D276" s="91">
        <v>0</v>
      </c>
      <c r="E276" s="91">
        <v>0</v>
      </c>
    </row>
    <row r="277" spans="1:5" x14ac:dyDescent="0.2">
      <c r="A277" s="90" t="s">
        <v>105</v>
      </c>
      <c r="B277" s="91">
        <v>31483</v>
      </c>
      <c r="C277" s="91">
        <v>30623</v>
      </c>
      <c r="D277" s="91">
        <v>30583</v>
      </c>
      <c r="E277" s="91">
        <v>32801</v>
      </c>
    </row>
    <row r="278" spans="1:5" x14ac:dyDescent="0.2">
      <c r="A278" s="90" t="s">
        <v>302</v>
      </c>
      <c r="B278" s="91">
        <v>191791</v>
      </c>
      <c r="C278" s="91">
        <v>198298</v>
      </c>
      <c r="D278" s="91">
        <v>205753</v>
      </c>
      <c r="E278" s="91">
        <v>243686</v>
      </c>
    </row>
    <row r="279" spans="1:5" x14ac:dyDescent="0.2">
      <c r="A279" s="90" t="s">
        <v>109</v>
      </c>
      <c r="B279" s="91">
        <v>0</v>
      </c>
      <c r="C279" s="91">
        <v>0</v>
      </c>
      <c r="D279" s="91">
        <v>0</v>
      </c>
      <c r="E279" s="91">
        <v>0</v>
      </c>
    </row>
    <row r="280" spans="1:5" x14ac:dyDescent="0.2">
      <c r="A280" s="90" t="s">
        <v>281</v>
      </c>
      <c r="B280" s="91">
        <v>0</v>
      </c>
      <c r="C280" s="91">
        <v>0</v>
      </c>
      <c r="D280" s="91">
        <v>0</v>
      </c>
      <c r="E280" s="91">
        <v>0</v>
      </c>
    </row>
    <row r="281" spans="1:5" x14ac:dyDescent="0.2">
      <c r="A281" s="90" t="s">
        <v>303</v>
      </c>
      <c r="B281" s="91">
        <v>4.7E-2</v>
      </c>
      <c r="C281" s="91">
        <v>4.7E-2</v>
      </c>
      <c r="D281" s="91">
        <v>4.5999999999999999E-2</v>
      </c>
      <c r="E281" s="91">
        <v>4.5999999999999999E-2</v>
      </c>
    </row>
    <row r="282" spans="1:5" x14ac:dyDescent="0.2">
      <c r="A282" s="90" t="s">
        <v>304</v>
      </c>
      <c r="B282" s="91">
        <v>83110.952999999994</v>
      </c>
      <c r="C282" s="91">
        <v>86938.952999999994</v>
      </c>
      <c r="D282" s="91">
        <v>93717.953999999998</v>
      </c>
      <c r="E282" s="91">
        <v>100922.954</v>
      </c>
    </row>
    <row r="283" spans="1:5" x14ac:dyDescent="0.2">
      <c r="A283" s="90" t="s">
        <v>305</v>
      </c>
      <c r="B283" s="91">
        <v>58877</v>
      </c>
      <c r="C283" s="91">
        <v>79603</v>
      </c>
      <c r="D283" s="91">
        <v>112505</v>
      </c>
      <c r="E283" s="91">
        <v>167554</v>
      </c>
    </row>
    <row r="284" spans="1:5" x14ac:dyDescent="0.2">
      <c r="A284" s="90" t="s">
        <v>306</v>
      </c>
      <c r="B284" s="91">
        <v>0</v>
      </c>
      <c r="C284" s="91">
        <v>0</v>
      </c>
      <c r="D284" s="91">
        <v>0</v>
      </c>
      <c r="E284" s="91">
        <v>0</v>
      </c>
    </row>
    <row r="285" spans="1:5" x14ac:dyDescent="0.2">
      <c r="A285" s="90" t="s">
        <v>120</v>
      </c>
      <c r="B285" s="91">
        <v>141988</v>
      </c>
      <c r="C285" s="91">
        <v>166542</v>
      </c>
      <c r="D285" s="91">
        <v>206223</v>
      </c>
      <c r="E285" s="91">
        <v>268477</v>
      </c>
    </row>
    <row r="286" spans="1:5" x14ac:dyDescent="0.2">
      <c r="A286" s="90" t="s">
        <v>121</v>
      </c>
      <c r="B286" s="91">
        <v>0</v>
      </c>
      <c r="C286" s="91">
        <v>0</v>
      </c>
      <c r="D286" s="91">
        <v>0</v>
      </c>
      <c r="E286" s="91">
        <v>0</v>
      </c>
    </row>
    <row r="287" spans="1:5" x14ac:dyDescent="0.2">
      <c r="A287" s="90" t="s">
        <v>307</v>
      </c>
      <c r="B287" s="91">
        <v>141988</v>
      </c>
      <c r="C287" s="91">
        <v>166542</v>
      </c>
      <c r="D287" s="91">
        <v>206223</v>
      </c>
      <c r="E287" s="91">
        <v>268477</v>
      </c>
    </row>
    <row r="288" spans="1:5" x14ac:dyDescent="0.2">
      <c r="A288" s="90" t="s">
        <v>124</v>
      </c>
      <c r="B288" s="91">
        <v>168088</v>
      </c>
      <c r="C288" s="91">
        <v>198270</v>
      </c>
      <c r="D288" s="91">
        <v>211915</v>
      </c>
      <c r="E288" s="91">
        <v>245122</v>
      </c>
    </row>
    <row r="289" spans="1:5" x14ac:dyDescent="0.2">
      <c r="A289" s="90" t="s">
        <v>125</v>
      </c>
      <c r="B289" s="91">
        <v>41332</v>
      </c>
      <c r="C289" s="91">
        <v>48050</v>
      </c>
      <c r="D289" s="91">
        <v>52211</v>
      </c>
      <c r="E289" s="91">
        <v>54114</v>
      </c>
    </row>
    <row r="290" spans="1:5" x14ac:dyDescent="0.2">
      <c r="A290" s="90" t="s">
        <v>308</v>
      </c>
      <c r="B290" s="91">
        <v>0</v>
      </c>
      <c r="C290" s="91">
        <v>0</v>
      </c>
      <c r="D290" s="91">
        <v>0</v>
      </c>
      <c r="E290" s="91">
        <v>0</v>
      </c>
    </row>
    <row r="291" spans="1:5" x14ac:dyDescent="0.2">
      <c r="A291" s="90" t="s">
        <v>309</v>
      </c>
      <c r="B291" s="91">
        <v>45940</v>
      </c>
      <c r="C291" s="91">
        <v>52111</v>
      </c>
      <c r="D291" s="91">
        <v>56510</v>
      </c>
      <c r="E291" s="91">
        <v>61575</v>
      </c>
    </row>
    <row r="292" spans="1:5" x14ac:dyDescent="0.2">
      <c r="A292" s="90" t="s">
        <v>127</v>
      </c>
      <c r="B292" s="91">
        <v>80816</v>
      </c>
      <c r="C292" s="91">
        <v>98109</v>
      </c>
      <c r="D292" s="91">
        <v>103194</v>
      </c>
      <c r="E292" s="91">
        <v>129433</v>
      </c>
    </row>
    <row r="293" spans="1:5" x14ac:dyDescent="0.2">
      <c r="A293" s="90" t="s">
        <v>310</v>
      </c>
      <c r="B293" s="91">
        <v>10900</v>
      </c>
      <c r="C293" s="91">
        <v>14600</v>
      </c>
      <c r="D293" s="91">
        <v>13500</v>
      </c>
      <c r="E293" s="91">
        <v>20000</v>
      </c>
    </row>
    <row r="294" spans="1:5" x14ac:dyDescent="0.2">
      <c r="A294" s="90" t="s">
        <v>132</v>
      </c>
      <c r="B294" s="91">
        <v>69916</v>
      </c>
      <c r="C294" s="91">
        <v>83509</v>
      </c>
      <c r="D294" s="91">
        <v>89694</v>
      </c>
      <c r="E294" s="91">
        <v>109433</v>
      </c>
    </row>
    <row r="295" spans="1:5" x14ac:dyDescent="0.2">
      <c r="A295" s="90" t="s">
        <v>133</v>
      </c>
      <c r="B295" s="91">
        <v>2330</v>
      </c>
      <c r="C295" s="91">
        <v>2047</v>
      </c>
      <c r="D295" s="91">
        <v>1995</v>
      </c>
      <c r="E295" s="91">
        <v>2983</v>
      </c>
    </row>
    <row r="296" spans="1:5" x14ac:dyDescent="0.2">
      <c r="A296" s="90" t="s">
        <v>311</v>
      </c>
      <c r="B296" s="91">
        <v>3516</v>
      </c>
      <c r="C296" s="91">
        <v>2380</v>
      </c>
      <c r="D296" s="91">
        <v>2783</v>
      </c>
      <c r="E296" s="91">
        <v>1337</v>
      </c>
    </row>
    <row r="297" spans="1:5" x14ac:dyDescent="0.2">
      <c r="A297" s="90" t="s">
        <v>137</v>
      </c>
      <c r="B297" s="90" t="s">
        <v>83</v>
      </c>
      <c r="C297" s="91">
        <v>-126</v>
      </c>
      <c r="D297" s="91">
        <v>-1171</v>
      </c>
      <c r="E297" s="91">
        <v>0</v>
      </c>
    </row>
    <row r="298" spans="1:5" x14ac:dyDescent="0.2">
      <c r="A298" s="90" t="s">
        <v>138</v>
      </c>
      <c r="B298" s="91">
        <v>71102</v>
      </c>
      <c r="C298" s="91">
        <v>83716</v>
      </c>
      <c r="D298" s="91">
        <v>89311</v>
      </c>
      <c r="E298" s="91">
        <v>107787</v>
      </c>
    </row>
    <row r="299" spans="1:5" x14ac:dyDescent="0.2">
      <c r="A299" s="90" t="s">
        <v>141</v>
      </c>
      <c r="B299" s="91">
        <v>9831</v>
      </c>
      <c r="C299" s="91">
        <v>10978</v>
      </c>
      <c r="D299" s="91">
        <v>16950</v>
      </c>
      <c r="E299" s="91">
        <v>19651</v>
      </c>
    </row>
    <row r="300" spans="1:5" x14ac:dyDescent="0.2">
      <c r="A300" s="90" t="s">
        <v>150</v>
      </c>
      <c r="B300" s="91">
        <v>0</v>
      </c>
      <c r="C300" s="91">
        <v>0</v>
      </c>
      <c r="D300" s="91">
        <v>0</v>
      </c>
      <c r="E300" s="91">
        <v>0</v>
      </c>
    </row>
    <row r="301" spans="1:5" x14ac:dyDescent="0.2">
      <c r="A301" s="90" t="s">
        <v>312</v>
      </c>
      <c r="B301" s="91">
        <v>61271</v>
      </c>
      <c r="C301" s="91">
        <v>72738</v>
      </c>
      <c r="D301" s="91">
        <v>72361</v>
      </c>
      <c r="E301" s="91">
        <v>88136</v>
      </c>
    </row>
    <row r="302" spans="1:5" x14ac:dyDescent="0.2">
      <c r="A302" s="90" t="s">
        <v>313</v>
      </c>
      <c r="B302" s="91">
        <v>0</v>
      </c>
      <c r="C302" s="91">
        <v>0</v>
      </c>
      <c r="D302" s="91">
        <v>0</v>
      </c>
      <c r="E302" s="91">
        <v>0</v>
      </c>
    </row>
    <row r="303" spans="1:5" x14ac:dyDescent="0.2">
      <c r="A303" s="90" t="s">
        <v>314</v>
      </c>
      <c r="B303" s="91">
        <v>0</v>
      </c>
      <c r="C303" s="91">
        <v>0</v>
      </c>
      <c r="D303" s="91">
        <v>0</v>
      </c>
      <c r="E303" s="91">
        <v>0</v>
      </c>
    </row>
    <row r="304" spans="1:5" x14ac:dyDescent="0.2">
      <c r="A304" s="90" t="s">
        <v>160</v>
      </c>
      <c r="B304" s="91">
        <v>61271</v>
      </c>
      <c r="C304" s="91">
        <v>72738</v>
      </c>
      <c r="D304" s="91">
        <v>72361</v>
      </c>
      <c r="E304" s="91">
        <v>88136</v>
      </c>
    </row>
    <row r="305" spans="1:5" x14ac:dyDescent="0.2">
      <c r="A305" s="90" t="s">
        <v>315</v>
      </c>
      <c r="B305" s="91">
        <v>0</v>
      </c>
      <c r="C305" s="91">
        <v>0</v>
      </c>
      <c r="D305" s="91">
        <v>0</v>
      </c>
      <c r="E305" s="91">
        <v>0</v>
      </c>
    </row>
    <row r="306" spans="1:5" x14ac:dyDescent="0.2">
      <c r="A306" s="90" t="s">
        <v>316</v>
      </c>
      <c r="B306" s="91">
        <v>8.1199999999999992</v>
      </c>
      <c r="C306" s="91">
        <v>9.6999999999999993</v>
      </c>
      <c r="D306" s="91">
        <v>9.7200000000000006</v>
      </c>
      <c r="E306" s="91">
        <v>11.86</v>
      </c>
    </row>
    <row r="307" spans="1:5" x14ac:dyDescent="0.2">
      <c r="A307" s="90" t="s">
        <v>317</v>
      </c>
      <c r="B307" s="91">
        <v>8.1199999999999992</v>
      </c>
      <c r="C307" s="91">
        <v>9.6999999999999993</v>
      </c>
      <c r="D307" s="91">
        <v>9.7200000000000006</v>
      </c>
      <c r="E307" s="91">
        <v>11.86</v>
      </c>
    </row>
    <row r="308" spans="1:5" x14ac:dyDescent="0.2">
      <c r="A308" s="90" t="s">
        <v>318</v>
      </c>
      <c r="B308" s="91">
        <v>8.0500000000000007</v>
      </c>
      <c r="C308" s="91">
        <v>9.65</v>
      </c>
      <c r="D308" s="91">
        <v>9.68</v>
      </c>
      <c r="E308" s="91">
        <v>11.8</v>
      </c>
    </row>
    <row r="309" spans="1:5" x14ac:dyDescent="0.2">
      <c r="A309" s="90" t="s">
        <v>319</v>
      </c>
      <c r="B309" s="91">
        <v>8.0500000000000007</v>
      </c>
      <c r="C309" s="91">
        <v>9.65</v>
      </c>
      <c r="D309" s="91">
        <v>9.68</v>
      </c>
      <c r="E309" s="91">
        <v>11.8</v>
      </c>
    </row>
    <row r="310" spans="1:5" x14ac:dyDescent="0.2">
      <c r="A310" s="90" t="s">
        <v>320</v>
      </c>
      <c r="B310" s="91">
        <v>7547</v>
      </c>
      <c r="C310" s="91">
        <v>7496</v>
      </c>
      <c r="D310" s="91">
        <v>7446</v>
      </c>
      <c r="E310" s="91">
        <v>7431</v>
      </c>
    </row>
    <row r="311" spans="1:5" x14ac:dyDescent="0.2">
      <c r="A311" s="88" t="s">
        <v>321</v>
      </c>
    </row>
    <row r="312" spans="1:5" x14ac:dyDescent="0.2">
      <c r="A312" s="90" t="s">
        <v>322</v>
      </c>
      <c r="B312" s="91">
        <v>7608</v>
      </c>
      <c r="C312" s="91">
        <v>7540</v>
      </c>
      <c r="D312" s="91">
        <v>7472</v>
      </c>
      <c r="E312" s="91">
        <v>7469</v>
      </c>
    </row>
    <row r="313" spans="1:5" x14ac:dyDescent="0.2">
      <c r="A313" s="90" t="s">
        <v>323</v>
      </c>
      <c r="B313" s="91">
        <v>7519</v>
      </c>
      <c r="C313" s="91">
        <v>7464</v>
      </c>
      <c r="D313" s="91">
        <v>7432</v>
      </c>
      <c r="E313" s="91">
        <v>7434</v>
      </c>
    </row>
    <row r="314" spans="1:5" x14ac:dyDescent="0.2">
      <c r="A314" s="90" t="s">
        <v>171</v>
      </c>
      <c r="B314" s="91">
        <v>76740</v>
      </c>
      <c r="C314" s="91">
        <v>89035</v>
      </c>
      <c r="D314" s="91">
        <v>87582</v>
      </c>
      <c r="E314" s="91">
        <v>118548</v>
      </c>
    </row>
    <row r="315" spans="1:5" x14ac:dyDescent="0.2">
      <c r="A315" s="90" t="s">
        <v>176</v>
      </c>
      <c r="B315" s="91">
        <v>20622</v>
      </c>
      <c r="C315" s="91">
        <v>23886</v>
      </c>
      <c r="D315" s="91">
        <v>28107</v>
      </c>
      <c r="E315" s="91">
        <v>44477</v>
      </c>
    </row>
    <row r="316" spans="1:5" x14ac:dyDescent="0.2">
      <c r="A316" s="90" t="s">
        <v>324</v>
      </c>
      <c r="B316" s="91">
        <v>0</v>
      </c>
      <c r="C316" s="91">
        <v>0</v>
      </c>
      <c r="D316" s="91">
        <v>0</v>
      </c>
      <c r="E316" s="91">
        <v>0</v>
      </c>
    </row>
    <row r="317" spans="1:5" x14ac:dyDescent="0.2">
      <c r="A317" s="90" t="s">
        <v>178</v>
      </c>
      <c r="B317" s="90" t="s">
        <v>83</v>
      </c>
      <c r="C317" s="90" t="s">
        <v>83</v>
      </c>
      <c r="D317" s="90" t="s">
        <v>83</v>
      </c>
      <c r="E317" s="90" t="s">
        <v>83</v>
      </c>
    </row>
    <row r="318" spans="1:5" x14ac:dyDescent="0.2">
      <c r="A318" s="90" t="s">
        <v>325</v>
      </c>
      <c r="B318" s="91">
        <v>-27577</v>
      </c>
      <c r="C318" s="91">
        <v>-30311</v>
      </c>
      <c r="D318" s="91">
        <v>-22680</v>
      </c>
      <c r="E318" s="91">
        <v>-96970</v>
      </c>
    </row>
    <row r="319" spans="1:5" x14ac:dyDescent="0.2">
      <c r="A319" s="90" t="s">
        <v>184</v>
      </c>
      <c r="B319" s="91">
        <v>16521</v>
      </c>
      <c r="C319" s="91">
        <v>18135</v>
      </c>
      <c r="D319" s="91">
        <v>19800</v>
      </c>
      <c r="E319" s="91">
        <v>21771</v>
      </c>
    </row>
    <row r="320" spans="1:5" x14ac:dyDescent="0.2">
      <c r="A320" s="88" t="s">
        <v>326</v>
      </c>
    </row>
    <row r="321" spans="1:5" x14ac:dyDescent="0.2">
      <c r="A321" s="90" t="s">
        <v>327</v>
      </c>
      <c r="B321" s="91">
        <v>2000</v>
      </c>
      <c r="C321" s="91">
        <v>1900</v>
      </c>
      <c r="D321" s="91">
        <v>1700</v>
      </c>
      <c r="E321" s="91">
        <v>1700</v>
      </c>
    </row>
    <row r="322" spans="1:5" x14ac:dyDescent="0.2">
      <c r="A322" s="90" t="s">
        <v>194</v>
      </c>
      <c r="B322" s="91">
        <v>13400</v>
      </c>
      <c r="C322" s="91">
        <v>16000</v>
      </c>
      <c r="D322" s="91">
        <v>23100</v>
      </c>
      <c r="E322" s="91">
        <v>23400</v>
      </c>
    </row>
    <row r="323" spans="1:5" x14ac:dyDescent="0.2">
      <c r="A323" s="90" t="s">
        <v>328</v>
      </c>
      <c r="B323" s="90" t="s">
        <v>83</v>
      </c>
      <c r="C323" s="90" t="s">
        <v>83</v>
      </c>
      <c r="D323" s="90" t="s">
        <v>83</v>
      </c>
      <c r="E323" s="90" t="s">
        <v>83</v>
      </c>
    </row>
    <row r="324" spans="1:5" x14ac:dyDescent="0.2">
      <c r="A324" s="90" t="s">
        <v>329</v>
      </c>
      <c r="B324" s="90" t="s">
        <v>83</v>
      </c>
      <c r="C324" s="90" t="s">
        <v>83</v>
      </c>
      <c r="D324" s="90" t="s">
        <v>83</v>
      </c>
      <c r="E324" s="91">
        <v>5250</v>
      </c>
    </row>
    <row r="325" spans="1:5" x14ac:dyDescent="0.2">
      <c r="A325" s="90" t="s">
        <v>330</v>
      </c>
      <c r="B325" s="90" t="s">
        <v>83</v>
      </c>
      <c r="C325" s="90" t="s">
        <v>83</v>
      </c>
      <c r="D325" s="90" t="s">
        <v>83</v>
      </c>
      <c r="E325" s="90" t="s">
        <v>83</v>
      </c>
    </row>
    <row r="326" spans="1:5" x14ac:dyDescent="0.2">
      <c r="A326" s="90" t="s">
        <v>197</v>
      </c>
      <c r="B326" s="91">
        <v>1</v>
      </c>
      <c r="C326" s="91">
        <v>1</v>
      </c>
      <c r="D326" s="91">
        <v>1</v>
      </c>
      <c r="E326" s="91">
        <v>1</v>
      </c>
    </row>
    <row r="327" spans="1:5" x14ac:dyDescent="0.2">
      <c r="A327" s="90" t="s">
        <v>198</v>
      </c>
      <c r="B327" s="91">
        <v>1500</v>
      </c>
      <c r="C327" s="91">
        <v>1500</v>
      </c>
      <c r="D327" s="91">
        <v>904</v>
      </c>
      <c r="E327" s="91">
        <v>1700</v>
      </c>
    </row>
    <row r="328" spans="1:5" x14ac:dyDescent="0.2">
      <c r="A328" s="90" t="s">
        <v>212</v>
      </c>
      <c r="B328" s="91">
        <v>2.19</v>
      </c>
      <c r="C328" s="91">
        <v>2.42</v>
      </c>
      <c r="D328" s="91">
        <v>2.66</v>
      </c>
      <c r="E328" s="91">
        <v>2.93</v>
      </c>
    </row>
    <row r="329" spans="1:5" x14ac:dyDescent="0.2">
      <c r="A329" s="90" t="s">
        <v>213</v>
      </c>
      <c r="B329" s="91">
        <v>16871</v>
      </c>
      <c r="C329" s="91">
        <v>18552</v>
      </c>
      <c r="D329" s="91">
        <v>20226</v>
      </c>
      <c r="E329" s="91">
        <v>22293</v>
      </c>
    </row>
    <row r="330" spans="1:5" x14ac:dyDescent="0.2">
      <c r="A330" s="90" t="s">
        <v>214</v>
      </c>
      <c r="B330" s="91">
        <v>0</v>
      </c>
      <c r="C330" s="91">
        <v>0</v>
      </c>
      <c r="D330" s="91">
        <v>0</v>
      </c>
      <c r="E330" s="91">
        <v>0</v>
      </c>
    </row>
    <row r="331" spans="1:5" x14ac:dyDescent="0.2">
      <c r="A331" s="90" t="s">
        <v>227</v>
      </c>
      <c r="B331" s="91">
        <v>0</v>
      </c>
      <c r="C331" s="91">
        <v>0</v>
      </c>
      <c r="D331" s="91">
        <v>0</v>
      </c>
      <c r="E331" s="91">
        <v>0</v>
      </c>
    </row>
    <row r="332" spans="1:5" x14ac:dyDescent="0.2">
      <c r="A332" s="90" t="s">
        <v>228</v>
      </c>
      <c r="B332" s="91">
        <v>0</v>
      </c>
      <c r="C332" s="91">
        <v>0</v>
      </c>
      <c r="D332" s="91">
        <v>0</v>
      </c>
      <c r="E332" s="91">
        <v>0</v>
      </c>
    </row>
    <row r="333" spans="1:5" x14ac:dyDescent="0.2">
      <c r="A333" s="90" t="s">
        <v>230</v>
      </c>
      <c r="B333" s="91">
        <v>336.32</v>
      </c>
      <c r="C333" s="91">
        <v>239.82</v>
      </c>
      <c r="D333" s="91">
        <v>376.04</v>
      </c>
      <c r="E333" s="91">
        <v>421.5</v>
      </c>
    </row>
    <row r="334" spans="1:5" x14ac:dyDescent="0.2">
      <c r="A334" s="90" t="s">
        <v>233</v>
      </c>
      <c r="B334" s="91">
        <v>270.89999999999998</v>
      </c>
      <c r="C334" s="91">
        <v>256.83</v>
      </c>
      <c r="D334" s="91">
        <v>340.54</v>
      </c>
      <c r="E334" s="91">
        <v>446.95</v>
      </c>
    </row>
    <row r="335" spans="1:5" x14ac:dyDescent="0.2">
      <c r="A335" s="90" t="s">
        <v>234</v>
      </c>
      <c r="B335" s="91">
        <v>751</v>
      </c>
      <c r="C335" s="91">
        <v>633</v>
      </c>
      <c r="D335" s="91">
        <v>650</v>
      </c>
      <c r="E335" s="91">
        <v>830</v>
      </c>
    </row>
    <row r="336" spans="1:5" x14ac:dyDescent="0.2">
      <c r="A336" s="90" t="s">
        <v>240</v>
      </c>
      <c r="B336" s="91">
        <v>2127</v>
      </c>
      <c r="C336" s="91">
        <v>2461</v>
      </c>
      <c r="D336" s="91">
        <v>2875</v>
      </c>
      <c r="E336" s="91">
        <v>3555</v>
      </c>
    </row>
    <row r="337" spans="1:5" x14ac:dyDescent="0.2">
      <c r="A337" s="90" t="s">
        <v>242</v>
      </c>
      <c r="B337" s="91">
        <v>20716</v>
      </c>
      <c r="C337" s="91">
        <v>24512</v>
      </c>
      <c r="D337" s="91">
        <v>27195</v>
      </c>
      <c r="E337" s="91">
        <v>29510</v>
      </c>
    </row>
  </sheetData>
  <mergeCells count="4">
    <mergeCell ref="I24:N24"/>
    <mergeCell ref="I38:N38"/>
    <mergeCell ref="I1:M4"/>
    <mergeCell ref="I8:N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8A923-FD24-4057-A082-E1AF03EDE56E}">
  <dimension ref="A1:L89"/>
  <sheetViews>
    <sheetView zoomScale="130" zoomScaleNormal="130" workbookViewId="0"/>
  </sheetViews>
  <sheetFormatPr defaultColWidth="10.28515625" defaultRowHeight="15" x14ac:dyDescent="0.25"/>
  <cols>
    <col min="1" max="1" width="42.28515625" style="3" customWidth="1"/>
    <col min="2" max="3" width="9.85546875" style="3" customWidth="1"/>
    <col min="4" max="8" width="11.28515625" style="3" customWidth="1"/>
    <col min="9" max="9" width="9.85546875" style="3" customWidth="1"/>
    <col min="10" max="16384" width="10.28515625" style="3"/>
  </cols>
  <sheetData>
    <row r="1" spans="1:12" x14ac:dyDescent="0.25">
      <c r="A1" s="2" t="s">
        <v>49</v>
      </c>
      <c r="E1" s="67" t="s">
        <v>56</v>
      </c>
    </row>
    <row r="3" spans="1:12" x14ac:dyDescent="0.25">
      <c r="A3" s="4" t="s">
        <v>21</v>
      </c>
      <c r="B3" s="5"/>
      <c r="C3" s="6"/>
      <c r="D3" s="6"/>
      <c r="E3" s="6"/>
      <c r="F3" s="6"/>
      <c r="G3" s="6"/>
      <c r="H3" s="7"/>
      <c r="I3" s="7"/>
      <c r="J3" s="7"/>
    </row>
    <row r="4" spans="1:12" x14ac:dyDescent="0.25">
      <c r="A4" s="8" t="s">
        <v>2</v>
      </c>
      <c r="B4" s="52">
        <v>14000</v>
      </c>
      <c r="C4" s="113" t="s">
        <v>369</v>
      </c>
      <c r="D4" s="10"/>
      <c r="E4" s="9"/>
      <c r="F4" s="6"/>
      <c r="G4" s="10"/>
      <c r="H4" s="7"/>
      <c r="I4" s="7"/>
      <c r="J4" s="7"/>
    </row>
    <row r="5" spans="1:12" x14ac:dyDescent="0.25">
      <c r="A5" s="11" t="s">
        <v>20</v>
      </c>
      <c r="B5" s="12">
        <v>5</v>
      </c>
      <c r="C5" s="48" t="s">
        <v>22</v>
      </c>
      <c r="D5" s="11"/>
      <c r="E5" s="13"/>
      <c r="F5" s="6"/>
      <c r="G5" s="14"/>
      <c r="H5" s="7"/>
      <c r="I5" s="7"/>
      <c r="J5" s="7"/>
    </row>
    <row r="6" spans="1:12" x14ac:dyDescent="0.25">
      <c r="A6" s="11" t="s">
        <v>3</v>
      </c>
      <c r="B6" s="52">
        <f>B4/B5</f>
        <v>2800</v>
      </c>
      <c r="C6" s="48" t="s">
        <v>24</v>
      </c>
      <c r="D6" s="11"/>
      <c r="E6" s="13"/>
      <c r="F6" s="6"/>
      <c r="G6" s="14"/>
      <c r="H6" s="7"/>
      <c r="I6" s="7"/>
      <c r="J6" s="7"/>
    </row>
    <row r="7" spans="1:12" x14ac:dyDescent="0.25">
      <c r="A7" s="3" t="s">
        <v>19</v>
      </c>
      <c r="B7" s="47">
        <f>'Your Company''s FS'!L21</f>
        <v>0.52803501929651353</v>
      </c>
      <c r="C7" s="49" t="s">
        <v>23</v>
      </c>
      <c r="F7" s="6"/>
      <c r="G7" s="14"/>
      <c r="H7" s="7"/>
      <c r="I7" s="7"/>
      <c r="J7" s="16"/>
    </row>
    <row r="8" spans="1:12" x14ac:dyDescent="0.25">
      <c r="A8" s="11" t="s">
        <v>28</v>
      </c>
      <c r="B8" s="17">
        <f>'Your Company''s FS'!L35</f>
        <v>46674</v>
      </c>
      <c r="C8" s="3" t="s">
        <v>30</v>
      </c>
      <c r="D8" s="6"/>
      <c r="E8" s="20"/>
      <c r="F8" s="20"/>
      <c r="G8" s="20"/>
      <c r="H8" s="20"/>
      <c r="I8" s="20"/>
      <c r="J8" s="20"/>
      <c r="K8" s="20"/>
      <c r="L8" s="20"/>
    </row>
    <row r="9" spans="1:12" x14ac:dyDescent="0.25">
      <c r="A9" s="11" t="s">
        <v>29</v>
      </c>
      <c r="B9" s="110">
        <f>'Your Company''s FS'!L35/'Your Company''s FS'!L11</f>
        <v>0.19041130539078499</v>
      </c>
      <c r="C9" s="9" t="s">
        <v>31</v>
      </c>
      <c r="D9" s="6"/>
      <c r="E9" s="20"/>
      <c r="F9" s="20"/>
      <c r="G9" s="20"/>
      <c r="H9" s="20"/>
      <c r="I9" s="20"/>
      <c r="J9" s="20"/>
      <c r="K9" s="20"/>
      <c r="L9" s="20"/>
    </row>
    <row r="10" spans="1:12" x14ac:dyDescent="0.25">
      <c r="A10" s="11" t="s">
        <v>4</v>
      </c>
      <c r="B10" s="82">
        <f>0.01*C19</f>
        <v>147.07320000000001</v>
      </c>
      <c r="C10" s="21" t="s">
        <v>50</v>
      </c>
      <c r="D10" s="21"/>
      <c r="E10" s="20"/>
      <c r="F10" s="20"/>
      <c r="G10" s="20"/>
      <c r="H10" s="20"/>
      <c r="I10" s="20"/>
      <c r="J10" s="20"/>
      <c r="K10" s="20"/>
      <c r="L10" s="20"/>
    </row>
    <row r="11" spans="1:12" x14ac:dyDescent="0.25">
      <c r="A11" s="22" t="s">
        <v>34</v>
      </c>
      <c r="B11" s="12">
        <v>0</v>
      </c>
      <c r="C11" s="21" t="s">
        <v>36</v>
      </c>
      <c r="D11" s="21"/>
      <c r="E11" s="20"/>
      <c r="F11" s="20"/>
      <c r="G11" s="20"/>
      <c r="H11" s="20"/>
      <c r="I11" s="20"/>
      <c r="J11" s="20"/>
      <c r="K11" s="20"/>
      <c r="L11" s="20"/>
    </row>
    <row r="12" spans="1:12" x14ac:dyDescent="0.25">
      <c r="A12" s="22" t="s">
        <v>5</v>
      </c>
      <c r="B12" s="51">
        <v>0.21</v>
      </c>
      <c r="C12" s="23">
        <v>0.28000000000000003</v>
      </c>
      <c r="D12" s="6"/>
      <c r="E12" s="9"/>
      <c r="F12" s="6"/>
      <c r="G12" s="14"/>
      <c r="H12" s="7"/>
      <c r="I12" s="7"/>
      <c r="J12" s="16"/>
    </row>
    <row r="13" spans="1:12" x14ac:dyDescent="0.25">
      <c r="A13" s="22" t="s">
        <v>6</v>
      </c>
      <c r="B13" s="51">
        <v>0.12</v>
      </c>
      <c r="C13" s="9"/>
      <c r="D13" s="6"/>
      <c r="E13" s="9"/>
      <c r="F13" s="6"/>
      <c r="G13" s="14"/>
      <c r="H13" s="7"/>
      <c r="I13" s="7"/>
      <c r="J13" s="16"/>
    </row>
    <row r="14" spans="1:12" x14ac:dyDescent="0.25">
      <c r="A14" s="10" t="s">
        <v>33</v>
      </c>
      <c r="B14" s="52">
        <f>0.06*'Your Company''s FS'!L11</f>
        <v>14707.32</v>
      </c>
      <c r="C14" s="13" t="s">
        <v>51</v>
      </c>
      <c r="D14" s="18"/>
      <c r="E14" s="2"/>
      <c r="F14" s="6"/>
      <c r="G14" s="14"/>
      <c r="H14" s="7"/>
      <c r="I14" s="19"/>
      <c r="J14" s="19"/>
      <c r="K14" s="18"/>
      <c r="L14" s="18"/>
    </row>
    <row r="15" spans="1:12" x14ac:dyDescent="0.25">
      <c r="A15" s="46" t="s">
        <v>35</v>
      </c>
      <c r="B15" s="47"/>
      <c r="C15" s="111">
        <v>0.06</v>
      </c>
      <c r="D15" s="111">
        <v>0.15</v>
      </c>
      <c r="E15" s="51">
        <v>0.14000000000000001</v>
      </c>
      <c r="F15" s="50">
        <v>0.1</v>
      </c>
      <c r="G15" s="50">
        <v>0.06</v>
      </c>
      <c r="H15" s="7"/>
      <c r="I15" s="7"/>
      <c r="J15" s="16"/>
    </row>
    <row r="16" spans="1:12" x14ac:dyDescent="0.25">
      <c r="A16" s="7"/>
      <c r="B16" s="24" t="s">
        <v>7</v>
      </c>
      <c r="C16" s="24" t="s">
        <v>7</v>
      </c>
      <c r="D16" s="24" t="s">
        <v>7</v>
      </c>
      <c r="E16" s="24" t="s">
        <v>7</v>
      </c>
      <c r="F16" s="24" t="s">
        <v>7</v>
      </c>
      <c r="G16" s="24" t="s">
        <v>7</v>
      </c>
      <c r="H16" s="24"/>
      <c r="I16" s="24"/>
      <c r="J16" s="16"/>
    </row>
    <row r="17" spans="1:10" x14ac:dyDescent="0.25">
      <c r="A17" s="7"/>
      <c r="B17" s="24">
        <f>'Template - Dell'!B17</f>
        <v>2025</v>
      </c>
      <c r="C17" s="24">
        <f>B17+1</f>
        <v>2026</v>
      </c>
      <c r="D17" s="24">
        <f>C17+1</f>
        <v>2027</v>
      </c>
      <c r="E17" s="24">
        <f>D17+1</f>
        <v>2028</v>
      </c>
      <c r="F17" s="24">
        <f>E17+1</f>
        <v>2029</v>
      </c>
      <c r="G17" s="24">
        <f>F17+1</f>
        <v>2030</v>
      </c>
      <c r="H17" s="24"/>
      <c r="I17" s="24"/>
      <c r="J17" s="16"/>
    </row>
    <row r="18" spans="1:10" x14ac:dyDescent="0.25">
      <c r="A18" s="25" t="s">
        <v>8</v>
      </c>
      <c r="B18" s="26">
        <v>0</v>
      </c>
      <c r="C18" s="27">
        <v>1</v>
      </c>
      <c r="D18" s="27">
        <v>2</v>
      </c>
      <c r="E18" s="27">
        <v>3</v>
      </c>
      <c r="F18" s="27">
        <v>4</v>
      </c>
      <c r="G18" s="27">
        <v>5</v>
      </c>
      <c r="H18" s="27"/>
      <c r="I18" s="7"/>
      <c r="J18" s="7"/>
    </row>
    <row r="19" spans="1:10" x14ac:dyDescent="0.25">
      <c r="A19" s="8" t="s">
        <v>32</v>
      </c>
      <c r="B19" s="28"/>
      <c r="C19" s="84">
        <f>B14</f>
        <v>14707.32</v>
      </c>
      <c r="D19" s="84">
        <f>C19*(1+D15)</f>
        <v>16913.417999999998</v>
      </c>
      <c r="E19" s="84">
        <f t="shared" ref="E19:G19" si="0">D19*(1+E15)</f>
        <v>19281.29652</v>
      </c>
      <c r="F19" s="84">
        <f t="shared" si="0"/>
        <v>21209.426172000003</v>
      </c>
      <c r="G19" s="84">
        <f t="shared" si="0"/>
        <v>22481.991742320006</v>
      </c>
      <c r="H19" s="29"/>
      <c r="I19" s="29"/>
      <c r="J19" s="7"/>
    </row>
    <row r="20" spans="1:10" x14ac:dyDescent="0.25">
      <c r="A20" s="10" t="s">
        <v>25</v>
      </c>
      <c r="B20" s="30"/>
      <c r="C20" s="85">
        <f>C19*$B$7</f>
        <v>7765.98</v>
      </c>
      <c r="D20" s="85">
        <f t="shared" ref="D20:G20" si="1">D19*$B$7</f>
        <v>8930.8769999999986</v>
      </c>
      <c r="E20" s="85">
        <f t="shared" si="1"/>
        <v>10181.199779999999</v>
      </c>
      <c r="F20" s="85">
        <f t="shared" si="1"/>
        <v>11199.319758000001</v>
      </c>
      <c r="G20" s="85">
        <f t="shared" si="1"/>
        <v>11871.278943480002</v>
      </c>
      <c r="H20" s="31"/>
      <c r="I20" s="31"/>
      <c r="J20" s="7"/>
    </row>
    <row r="21" spans="1:10" x14ac:dyDescent="0.25">
      <c r="A21" s="10" t="s">
        <v>26</v>
      </c>
      <c r="B21" s="30"/>
      <c r="C21" s="85">
        <f>B6</f>
        <v>2800</v>
      </c>
      <c r="D21" s="85">
        <f>C21</f>
        <v>2800</v>
      </c>
      <c r="E21" s="85">
        <f t="shared" ref="E21:G21" si="2">D21</f>
        <v>2800</v>
      </c>
      <c r="F21" s="85">
        <f t="shared" si="2"/>
        <v>2800</v>
      </c>
      <c r="G21" s="85">
        <f t="shared" si="2"/>
        <v>2800</v>
      </c>
      <c r="H21" s="31"/>
      <c r="I21" s="31"/>
      <c r="J21" s="7"/>
    </row>
    <row r="22" spans="1:10" x14ac:dyDescent="0.25">
      <c r="A22" s="10" t="s">
        <v>27</v>
      </c>
      <c r="B22" s="30"/>
      <c r="C22" s="85">
        <f>(C20-C21)*$B$12</f>
        <v>1042.8557999999998</v>
      </c>
      <c r="D22" s="85">
        <f t="shared" ref="D22:G22" si="3">(D20-D21)*$B$12</f>
        <v>1287.4841699999997</v>
      </c>
      <c r="E22" s="85">
        <f t="shared" si="3"/>
        <v>1550.0519537999996</v>
      </c>
      <c r="F22" s="85">
        <f t="shared" si="3"/>
        <v>1763.8571491800003</v>
      </c>
      <c r="G22" s="85">
        <f t="shared" si="3"/>
        <v>1904.9685781308003</v>
      </c>
      <c r="H22" s="31"/>
      <c r="I22" s="31"/>
      <c r="J22" s="7"/>
    </row>
    <row r="23" spans="1:10" x14ac:dyDescent="0.25">
      <c r="A23" s="6" t="s">
        <v>9</v>
      </c>
      <c r="B23" s="30"/>
      <c r="C23" s="85">
        <f>(C20-C21)*(1-$B$12)</f>
        <v>3923.1241999999997</v>
      </c>
      <c r="D23" s="85">
        <f t="shared" ref="D23:G23" si="4">(D20-D21)*(1-$B$12)</f>
        <v>4843.3928299999989</v>
      </c>
      <c r="E23" s="85">
        <f t="shared" si="4"/>
        <v>5831.1478261999991</v>
      </c>
      <c r="F23" s="85">
        <f t="shared" si="4"/>
        <v>6635.4626088200012</v>
      </c>
      <c r="G23" s="85">
        <f t="shared" si="4"/>
        <v>7166.3103653492017</v>
      </c>
      <c r="H23" s="31"/>
      <c r="I23" s="31"/>
      <c r="J23" s="7"/>
    </row>
    <row r="24" spans="1:10" x14ac:dyDescent="0.25">
      <c r="A24" s="10"/>
      <c r="B24" s="31"/>
      <c r="C24" s="31"/>
      <c r="D24" s="31"/>
      <c r="E24" s="31"/>
      <c r="F24" s="31"/>
      <c r="G24" s="31"/>
      <c r="H24" s="32"/>
      <c r="I24" s="32"/>
      <c r="J24" s="7"/>
    </row>
    <row r="25" spans="1:10" x14ac:dyDescent="0.25">
      <c r="A25" s="33" t="s">
        <v>10</v>
      </c>
      <c r="B25" s="31"/>
      <c r="C25" s="31"/>
      <c r="D25" s="31"/>
      <c r="E25" s="31"/>
      <c r="F25" s="31"/>
      <c r="G25" s="31"/>
      <c r="H25" s="31"/>
      <c r="I25" s="32"/>
      <c r="J25" s="7"/>
    </row>
    <row r="26" spans="1:10" x14ac:dyDescent="0.25">
      <c r="A26" s="6" t="s">
        <v>11</v>
      </c>
      <c r="B26" s="85">
        <f>B10</f>
        <v>147.07320000000001</v>
      </c>
      <c r="C26" s="85">
        <f>C19*$B$9</f>
        <v>2800.44</v>
      </c>
      <c r="D26" s="85">
        <f>D19*$B$9</f>
        <v>3220.5059999999994</v>
      </c>
      <c r="E26" s="85">
        <f t="shared" ref="E26:F26" si="5">E19*$B$9</f>
        <v>3671.3768399999999</v>
      </c>
      <c r="F26" s="85">
        <f t="shared" si="5"/>
        <v>4038.5145240000006</v>
      </c>
      <c r="G26" s="31">
        <v>0</v>
      </c>
      <c r="H26" s="31"/>
      <c r="I26" s="32"/>
      <c r="J26" s="7"/>
    </row>
    <row r="27" spans="1:10" x14ac:dyDescent="0.25">
      <c r="A27" s="6" t="s">
        <v>12</v>
      </c>
      <c r="B27" s="31"/>
      <c r="C27" s="85">
        <f>C26-B26</f>
        <v>2653.3668000000002</v>
      </c>
      <c r="D27" s="85">
        <f>D26-C26</f>
        <v>420.06599999999935</v>
      </c>
      <c r="E27" s="85">
        <f t="shared" ref="E27:G27" si="6">E26-D26</f>
        <v>450.8708400000005</v>
      </c>
      <c r="F27" s="85">
        <f t="shared" si="6"/>
        <v>367.13768400000072</v>
      </c>
      <c r="G27" s="85">
        <f t="shared" si="6"/>
        <v>-4038.5145240000006</v>
      </c>
      <c r="H27" s="31"/>
      <c r="I27" s="32"/>
      <c r="J27" s="7"/>
    </row>
    <row r="28" spans="1:10" x14ac:dyDescent="0.25">
      <c r="A28" s="6" t="s">
        <v>13</v>
      </c>
      <c r="B28" s="31"/>
      <c r="C28" s="85">
        <f>-C27</f>
        <v>-2653.3668000000002</v>
      </c>
      <c r="D28" s="85">
        <f t="shared" ref="D28:G28" si="7">-D27</f>
        <v>-420.06599999999935</v>
      </c>
      <c r="E28" s="85">
        <f t="shared" si="7"/>
        <v>-450.8708400000005</v>
      </c>
      <c r="F28" s="85">
        <f t="shared" si="7"/>
        <v>-367.13768400000072</v>
      </c>
      <c r="G28" s="85">
        <f t="shared" si="7"/>
        <v>4038.5145240000006</v>
      </c>
      <c r="H28" s="31"/>
      <c r="I28" s="32"/>
      <c r="J28" s="7"/>
    </row>
    <row r="29" spans="1:10" x14ac:dyDescent="0.25">
      <c r="A29" s="7"/>
      <c r="B29" s="32"/>
      <c r="C29" s="32"/>
      <c r="D29" s="32"/>
      <c r="E29" s="32"/>
      <c r="F29" s="32"/>
      <c r="G29" s="32"/>
      <c r="H29" s="32"/>
      <c r="I29" s="32"/>
      <c r="J29" s="7"/>
    </row>
    <row r="30" spans="1:10" x14ac:dyDescent="0.25">
      <c r="A30" s="34" t="s">
        <v>37</v>
      </c>
      <c r="B30" s="31"/>
      <c r="C30" s="31"/>
      <c r="D30" s="31"/>
      <c r="E30" s="31"/>
      <c r="F30" s="31"/>
      <c r="G30" s="31"/>
      <c r="H30" s="31"/>
      <c r="I30" s="32"/>
      <c r="J30" s="7"/>
    </row>
    <row r="31" spans="1:10" x14ac:dyDescent="0.25">
      <c r="A31" s="6" t="s">
        <v>9</v>
      </c>
      <c r="B31" s="54"/>
      <c r="C31" s="85">
        <f>(C20-C21)*(1-$B$12)</f>
        <v>3923.1241999999997</v>
      </c>
      <c r="D31" s="85">
        <f t="shared" ref="D31:G31" si="8">(D20-D21)*(1-$B$12)</f>
        <v>4843.3928299999989</v>
      </c>
      <c r="E31" s="85">
        <f t="shared" si="8"/>
        <v>5831.1478261999991</v>
      </c>
      <c r="F31" s="85">
        <f t="shared" si="8"/>
        <v>6635.4626088200012</v>
      </c>
      <c r="G31" s="85">
        <f t="shared" si="8"/>
        <v>7166.3103653492017</v>
      </c>
      <c r="H31" s="31"/>
      <c r="I31" s="32"/>
      <c r="J31" s="7"/>
    </row>
    <row r="32" spans="1:10" x14ac:dyDescent="0.25">
      <c r="A32" s="6" t="s">
        <v>41</v>
      </c>
      <c r="B32" s="31"/>
      <c r="C32" s="85">
        <f>C21</f>
        <v>2800</v>
      </c>
      <c r="D32" s="85">
        <f t="shared" ref="D32:G32" si="9">D21</f>
        <v>2800</v>
      </c>
      <c r="E32" s="85">
        <f t="shared" si="9"/>
        <v>2800</v>
      </c>
      <c r="F32" s="85">
        <f t="shared" si="9"/>
        <v>2800</v>
      </c>
      <c r="G32" s="85">
        <f t="shared" si="9"/>
        <v>2800</v>
      </c>
      <c r="H32" s="31"/>
      <c r="I32" s="32"/>
      <c r="J32" s="7"/>
    </row>
    <row r="33" spans="1:10" x14ac:dyDescent="0.25">
      <c r="A33" s="6" t="s">
        <v>39</v>
      </c>
      <c r="B33" s="31"/>
      <c r="C33" s="85">
        <f>C27</f>
        <v>2653.3668000000002</v>
      </c>
      <c r="D33" s="85">
        <f t="shared" ref="D33:G33" si="10">D27</f>
        <v>420.06599999999935</v>
      </c>
      <c r="E33" s="85">
        <f t="shared" si="10"/>
        <v>450.8708400000005</v>
      </c>
      <c r="F33" s="85">
        <f t="shared" si="10"/>
        <v>367.13768400000072</v>
      </c>
      <c r="G33" s="85">
        <f t="shared" si="10"/>
        <v>-4038.5145240000006</v>
      </c>
      <c r="H33" s="31"/>
      <c r="I33" s="32"/>
      <c r="J33" s="7"/>
    </row>
    <row r="34" spans="1:10" x14ac:dyDescent="0.25">
      <c r="A34" s="6" t="s">
        <v>40</v>
      </c>
      <c r="B34" s="31">
        <f>B4</f>
        <v>14000</v>
      </c>
      <c r="C34" s="31">
        <v>0</v>
      </c>
      <c r="D34" s="31">
        <v>0</v>
      </c>
      <c r="E34" s="31">
        <v>0</v>
      </c>
      <c r="F34" s="31">
        <v>0</v>
      </c>
      <c r="G34" s="31">
        <v>0</v>
      </c>
      <c r="H34" s="31"/>
      <c r="I34" s="32"/>
      <c r="J34" s="7"/>
    </row>
    <row r="35" spans="1:10" x14ac:dyDescent="0.25">
      <c r="A35" s="35" t="s">
        <v>14</v>
      </c>
      <c r="B35" s="31">
        <f>-(B34+B26)</f>
        <v>-14147.073200000001</v>
      </c>
      <c r="C35" s="85">
        <f>C31+C32-C33-C34</f>
        <v>4069.7574</v>
      </c>
      <c r="D35" s="85">
        <f t="shared" ref="D35:G35" si="11">D31+D32-D33-D34</f>
        <v>7223.32683</v>
      </c>
      <c r="E35" s="85">
        <f t="shared" si="11"/>
        <v>8180.2769861999977</v>
      </c>
      <c r="F35" s="85">
        <f t="shared" si="11"/>
        <v>9068.3249248200009</v>
      </c>
      <c r="G35" s="85">
        <f t="shared" si="11"/>
        <v>14004.824889349202</v>
      </c>
      <c r="H35" s="31"/>
      <c r="I35" s="32"/>
      <c r="J35" s="7"/>
    </row>
    <row r="36" spans="1:10" x14ac:dyDescent="0.25">
      <c r="A36" s="6"/>
      <c r="B36" s="31"/>
      <c r="C36" s="31"/>
      <c r="D36" s="31"/>
      <c r="E36" s="31"/>
      <c r="F36" s="31"/>
      <c r="G36" s="31"/>
      <c r="H36" s="31"/>
      <c r="I36" s="32"/>
      <c r="J36" s="7"/>
    </row>
    <row r="37" spans="1:10" x14ac:dyDescent="0.25">
      <c r="A37" s="6" t="s">
        <v>15</v>
      </c>
      <c r="B37" s="36">
        <f>(1/(1+$B$13)^B18)</f>
        <v>1</v>
      </c>
      <c r="C37" s="36">
        <f t="shared" ref="C37:G37" si="12">(1/(1+$B$13)^C18)</f>
        <v>0.89285714285714279</v>
      </c>
      <c r="D37" s="36">
        <f t="shared" si="12"/>
        <v>0.79719387755102034</v>
      </c>
      <c r="E37" s="36">
        <f t="shared" si="12"/>
        <v>0.71178024781341087</v>
      </c>
      <c r="F37" s="36">
        <f t="shared" si="12"/>
        <v>0.63551807840483121</v>
      </c>
      <c r="G37" s="36">
        <f t="shared" si="12"/>
        <v>0.56742685571859919</v>
      </c>
      <c r="H37" s="36"/>
      <c r="I37" s="32"/>
      <c r="J37" s="7"/>
    </row>
    <row r="38" spans="1:10" x14ac:dyDescent="0.25">
      <c r="A38" s="6" t="s">
        <v>16</v>
      </c>
      <c r="B38" s="31">
        <f>B35*B37</f>
        <v>-14147.073200000001</v>
      </c>
      <c r="C38" s="31">
        <f t="shared" ref="C38:G38" si="13">C35*C37</f>
        <v>3633.7119642857142</v>
      </c>
      <c r="D38" s="31">
        <f t="shared" si="13"/>
        <v>5758.3919244260196</v>
      </c>
      <c r="E38" s="31">
        <f t="shared" si="13"/>
        <v>5822.5595804197765</v>
      </c>
      <c r="F38" s="31">
        <f t="shared" si="13"/>
        <v>5763.0844305722421</v>
      </c>
      <c r="G38" s="31">
        <f t="shared" si="13"/>
        <v>7946.7137518529962</v>
      </c>
      <c r="H38" s="31"/>
      <c r="I38" s="32"/>
      <c r="J38" s="7"/>
    </row>
    <row r="39" spans="1:10" x14ac:dyDescent="0.25">
      <c r="A39" s="37" t="s">
        <v>17</v>
      </c>
      <c r="B39" s="38">
        <f>B35+NPV(B13,C35,D35,E35,F35,G35)</f>
        <v>14777.388451556746</v>
      </c>
      <c r="C39" s="32"/>
      <c r="D39" s="32"/>
      <c r="E39" s="32"/>
      <c r="F39" s="32"/>
      <c r="G39" s="32"/>
      <c r="H39" s="32"/>
      <c r="I39" s="32"/>
      <c r="J39" s="7"/>
    </row>
    <row r="40" spans="1:10" x14ac:dyDescent="0.25">
      <c r="B40" s="39"/>
      <c r="C40" s="39"/>
      <c r="D40" s="39"/>
      <c r="E40" s="39"/>
      <c r="F40" s="39"/>
      <c r="G40" s="39"/>
      <c r="H40" s="39"/>
      <c r="I40" s="32"/>
      <c r="J40" s="7"/>
    </row>
    <row r="41" spans="1:10" x14ac:dyDescent="0.25">
      <c r="B41" s="40"/>
      <c r="C41" s="40"/>
      <c r="D41" s="40"/>
      <c r="E41" s="40"/>
      <c r="F41" s="40"/>
      <c r="G41" s="40"/>
      <c r="H41" s="40"/>
      <c r="I41" s="41"/>
      <c r="J41" s="7"/>
    </row>
    <row r="42" spans="1:10" x14ac:dyDescent="0.25">
      <c r="I42" s="7"/>
      <c r="J42" s="7"/>
    </row>
    <row r="43" spans="1:10" x14ac:dyDescent="0.25">
      <c r="I43" s="7"/>
      <c r="J43" s="7"/>
    </row>
    <row r="44" spans="1:10" x14ac:dyDescent="0.25">
      <c r="I44" s="7"/>
      <c r="J44" s="7"/>
    </row>
    <row r="45" spans="1:10" x14ac:dyDescent="0.25">
      <c r="I45" s="7"/>
      <c r="J45" s="7"/>
    </row>
    <row r="46" spans="1:10" x14ac:dyDescent="0.25">
      <c r="I46" s="7"/>
      <c r="J46" s="7"/>
    </row>
    <row r="47" spans="1:10" x14ac:dyDescent="0.25">
      <c r="I47" s="7"/>
      <c r="J47" s="7"/>
    </row>
    <row r="48" spans="1:10" x14ac:dyDescent="0.25">
      <c r="I48" s="7"/>
      <c r="J48" s="7"/>
    </row>
    <row r="49" spans="1:10" x14ac:dyDescent="0.25">
      <c r="I49" s="7"/>
      <c r="J49" s="7"/>
    </row>
    <row r="50" spans="1:10" x14ac:dyDescent="0.25">
      <c r="I50" s="7"/>
      <c r="J50" s="7"/>
    </row>
    <row r="51" spans="1:10" x14ac:dyDescent="0.25">
      <c r="I51" s="7"/>
      <c r="J51" s="7"/>
    </row>
    <row r="52" spans="1:10" x14ac:dyDescent="0.25">
      <c r="I52" s="7"/>
      <c r="J52" s="7"/>
    </row>
    <row r="53" spans="1:10" x14ac:dyDescent="0.25">
      <c r="I53" s="7"/>
      <c r="J53" s="7"/>
    </row>
    <row r="54" spans="1:10" x14ac:dyDescent="0.25">
      <c r="A54" s="7"/>
      <c r="B54" s="42"/>
      <c r="C54" s="42"/>
      <c r="D54" s="42"/>
      <c r="E54" s="42"/>
      <c r="F54" s="42"/>
      <c r="G54" s="7"/>
      <c r="H54" s="7"/>
      <c r="I54" s="7"/>
      <c r="J54" s="7"/>
    </row>
    <row r="55" spans="1:10" x14ac:dyDescent="0.25">
      <c r="F55" s="7"/>
      <c r="G55" s="7"/>
      <c r="H55" s="7"/>
      <c r="I55" s="7"/>
      <c r="J55" s="7"/>
    </row>
    <row r="56" spans="1:10" x14ac:dyDescent="0.25">
      <c r="F56" s="7"/>
      <c r="G56" s="7"/>
      <c r="H56" s="7"/>
      <c r="I56" s="7"/>
      <c r="J56" s="7"/>
    </row>
    <row r="57" spans="1:10" x14ac:dyDescent="0.25">
      <c r="F57" s="7"/>
      <c r="G57" s="7"/>
      <c r="H57" s="7"/>
      <c r="I57" s="7"/>
      <c r="J57" s="7"/>
    </row>
    <row r="58" spans="1:10" x14ac:dyDescent="0.25">
      <c r="F58" s="7"/>
      <c r="G58" s="7"/>
      <c r="H58" s="7"/>
      <c r="I58" s="7"/>
      <c r="J58" s="7"/>
    </row>
    <row r="59" spans="1:10" x14ac:dyDescent="0.25">
      <c r="F59" s="7"/>
      <c r="G59" s="7"/>
      <c r="H59" s="7"/>
      <c r="I59" s="7"/>
      <c r="J59" s="7"/>
    </row>
    <row r="60" spans="1:10" x14ac:dyDescent="0.25">
      <c r="F60" s="7"/>
      <c r="G60" s="7"/>
      <c r="H60" s="7"/>
      <c r="I60" s="7"/>
      <c r="J60" s="7"/>
    </row>
    <row r="61" spans="1:10" x14ac:dyDescent="0.25">
      <c r="F61" s="7"/>
      <c r="G61" s="7"/>
      <c r="H61" s="7"/>
      <c r="I61" s="7"/>
      <c r="J61" s="7"/>
    </row>
    <row r="62" spans="1:10" x14ac:dyDescent="0.25">
      <c r="F62" s="7"/>
      <c r="G62" s="7"/>
      <c r="H62" s="7"/>
      <c r="I62" s="7"/>
      <c r="J62" s="7"/>
    </row>
    <row r="63" spans="1:10" x14ac:dyDescent="0.25">
      <c r="F63" s="7"/>
      <c r="G63" s="7"/>
      <c r="H63" s="7"/>
      <c r="I63" s="7"/>
      <c r="J63" s="7"/>
    </row>
    <row r="64" spans="1:10" x14ac:dyDescent="0.25">
      <c r="A64" s="43"/>
      <c r="C64" s="42"/>
      <c r="D64" s="42"/>
      <c r="E64" s="44"/>
      <c r="F64" s="7"/>
      <c r="G64" s="7"/>
      <c r="H64" s="7"/>
      <c r="I64" s="7"/>
      <c r="J64" s="7"/>
    </row>
    <row r="65" spans="1:10" x14ac:dyDescent="0.25">
      <c r="A65" s="43"/>
      <c r="C65" s="42"/>
      <c r="D65" s="42"/>
      <c r="E65" s="44"/>
      <c r="F65" s="7"/>
      <c r="G65" s="7"/>
      <c r="H65" s="7"/>
      <c r="I65" s="7"/>
      <c r="J65" s="7"/>
    </row>
    <row r="66" spans="1:10" x14ac:dyDescent="0.25">
      <c r="I66" s="7"/>
      <c r="J66" s="7"/>
    </row>
    <row r="67" spans="1:10" x14ac:dyDescent="0.25">
      <c r="I67" s="7"/>
      <c r="J67" s="7"/>
    </row>
    <row r="68" spans="1:10" x14ac:dyDescent="0.25">
      <c r="I68" s="7"/>
      <c r="J68" s="7"/>
    </row>
    <row r="69" spans="1:10" x14ac:dyDescent="0.25">
      <c r="I69" s="7"/>
      <c r="J69" s="7"/>
    </row>
    <row r="70" spans="1:10" x14ac:dyDescent="0.25">
      <c r="I70" s="7"/>
      <c r="J70" s="7"/>
    </row>
    <row r="71" spans="1:10" x14ac:dyDescent="0.25">
      <c r="I71" s="7"/>
      <c r="J71" s="7"/>
    </row>
    <row r="72" spans="1:10" x14ac:dyDescent="0.25">
      <c r="I72" s="7"/>
      <c r="J72" s="7"/>
    </row>
    <row r="73" spans="1:10" x14ac:dyDescent="0.25">
      <c r="I73" s="7"/>
      <c r="J73" s="7"/>
    </row>
    <row r="74" spans="1:10" x14ac:dyDescent="0.25">
      <c r="I74" s="7"/>
      <c r="J74" s="7"/>
    </row>
    <row r="75" spans="1:10" x14ac:dyDescent="0.25">
      <c r="I75" s="7"/>
      <c r="J75" s="7"/>
    </row>
    <row r="76" spans="1:10" x14ac:dyDescent="0.25">
      <c r="I76" s="7"/>
      <c r="J76" s="7"/>
    </row>
    <row r="77" spans="1:10" x14ac:dyDescent="0.25">
      <c r="I77" s="7"/>
      <c r="J77" s="7"/>
    </row>
    <row r="78" spans="1:10" x14ac:dyDescent="0.25">
      <c r="I78" s="7"/>
      <c r="J78" s="7"/>
    </row>
    <row r="79" spans="1:10" x14ac:dyDescent="0.25">
      <c r="I79" s="7"/>
      <c r="J79" s="7"/>
    </row>
    <row r="80" spans="1:10" x14ac:dyDescent="0.25">
      <c r="I80" s="7"/>
      <c r="J80" s="7"/>
    </row>
    <row r="81" spans="1:10" x14ac:dyDescent="0.25">
      <c r="I81" s="7"/>
      <c r="J81" s="7"/>
    </row>
    <row r="82" spans="1:10" x14ac:dyDescent="0.25">
      <c r="I82" s="7"/>
      <c r="J82" s="7"/>
    </row>
    <row r="83" spans="1:10" x14ac:dyDescent="0.25">
      <c r="I83" s="7"/>
      <c r="J83" s="7"/>
    </row>
    <row r="84" spans="1:10" x14ac:dyDescent="0.25">
      <c r="A84" s="7"/>
      <c r="B84" s="42"/>
      <c r="C84" s="7"/>
      <c r="D84" s="7"/>
      <c r="E84" s="7"/>
      <c r="F84" s="7"/>
      <c r="G84" s="7"/>
      <c r="H84" s="7"/>
      <c r="I84" s="7"/>
      <c r="J84" s="7"/>
    </row>
    <row r="85" spans="1:10" x14ac:dyDescent="0.25">
      <c r="A85" s="7"/>
      <c r="B85" s="7"/>
      <c r="C85" s="7"/>
      <c r="D85" s="7"/>
      <c r="E85" s="7"/>
      <c r="F85" s="7"/>
      <c r="G85" s="7"/>
      <c r="H85" s="7"/>
      <c r="I85" s="7"/>
      <c r="J85" s="7"/>
    </row>
    <row r="86" spans="1:10" x14ac:dyDescent="0.25">
      <c r="A86" s="7"/>
      <c r="B86" s="7"/>
      <c r="C86" s="7"/>
      <c r="D86" s="7"/>
      <c r="E86" s="7"/>
      <c r="F86" s="7"/>
      <c r="G86" s="7"/>
      <c r="H86" s="7"/>
      <c r="I86" s="7"/>
      <c r="J86" s="7"/>
    </row>
    <row r="87" spans="1:10" x14ac:dyDescent="0.25">
      <c r="A87" s="7"/>
      <c r="B87" s="7"/>
      <c r="C87" s="7"/>
      <c r="D87" s="7"/>
      <c r="E87" s="7"/>
      <c r="F87" s="7"/>
      <c r="G87" s="7"/>
      <c r="H87" s="7"/>
      <c r="I87" s="7"/>
      <c r="J87" s="7"/>
    </row>
    <row r="88" spans="1:10" x14ac:dyDescent="0.25">
      <c r="A88" s="7"/>
      <c r="B88" s="7"/>
      <c r="C88" s="7"/>
      <c r="D88" s="7"/>
      <c r="E88" s="7"/>
      <c r="F88" s="7"/>
      <c r="G88" s="7"/>
      <c r="H88" s="7"/>
      <c r="I88" s="7"/>
      <c r="J88" s="7"/>
    </row>
    <row r="89" spans="1:10" x14ac:dyDescent="0.25">
      <c r="A89" s="7"/>
      <c r="B89" s="7"/>
      <c r="C89" s="7"/>
      <c r="D89" s="7"/>
      <c r="E89" s="7"/>
      <c r="F89" s="7"/>
      <c r="G89" s="7"/>
      <c r="H89" s="7"/>
      <c r="I89" s="7"/>
      <c r="J89" s="7"/>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D2EDB-5BF2-4C83-8B1D-BA3D42C809A2}">
  <dimension ref="A1:S40"/>
  <sheetViews>
    <sheetView tabSelected="1" zoomScale="130" zoomScaleNormal="130" workbookViewId="0"/>
  </sheetViews>
  <sheetFormatPr defaultRowHeight="12.75" x14ac:dyDescent="0.2"/>
  <cols>
    <col min="1" max="1" width="41.28515625" customWidth="1"/>
    <col min="2" max="2" width="25.42578125" customWidth="1"/>
    <col min="3" max="3" width="13.7109375" customWidth="1"/>
    <col min="4" max="4" width="13.28515625" customWidth="1"/>
    <col min="5" max="5" width="14.5703125" customWidth="1"/>
    <col min="6" max="6" width="12.85546875" customWidth="1"/>
    <col min="7" max="7" width="12.5703125" customWidth="1"/>
  </cols>
  <sheetData>
    <row r="1" spans="1:19" ht="15" x14ac:dyDescent="0.25">
      <c r="A1" s="2" t="s">
        <v>49</v>
      </c>
      <c r="B1" s="3"/>
      <c r="C1" s="3"/>
      <c r="D1" s="3"/>
      <c r="E1" s="67" t="s">
        <v>368</v>
      </c>
      <c r="F1" s="3"/>
      <c r="G1" s="3"/>
      <c r="H1" s="3"/>
      <c r="I1" s="3"/>
      <c r="J1" s="3"/>
      <c r="K1" s="3"/>
      <c r="L1" s="3"/>
      <c r="M1" s="3"/>
      <c r="N1" s="3"/>
      <c r="O1" s="3"/>
      <c r="P1" s="3"/>
      <c r="Q1" s="3"/>
      <c r="R1" s="3"/>
      <c r="S1" s="3"/>
    </row>
    <row r="2" spans="1:19" ht="15" x14ac:dyDescent="0.25">
      <c r="A2" s="3"/>
      <c r="B2" s="3"/>
      <c r="C2" s="3"/>
      <c r="D2" s="3"/>
      <c r="E2" s="3"/>
      <c r="F2" s="3"/>
      <c r="G2" s="3"/>
      <c r="H2" s="3"/>
      <c r="I2" s="3"/>
      <c r="J2" s="3"/>
      <c r="K2" s="3"/>
      <c r="L2" s="3"/>
      <c r="M2" s="3"/>
      <c r="N2" s="3"/>
      <c r="O2" s="3"/>
      <c r="P2" s="3"/>
      <c r="Q2" s="3"/>
      <c r="R2" s="3"/>
      <c r="S2" s="3"/>
    </row>
    <row r="3" spans="1:19" ht="15" x14ac:dyDescent="0.25">
      <c r="A3" s="4" t="s">
        <v>21</v>
      </c>
      <c r="B3" s="5"/>
      <c r="C3" s="6"/>
      <c r="D3" s="6"/>
      <c r="E3" s="6"/>
      <c r="F3" s="6"/>
      <c r="G3" s="6"/>
      <c r="H3" s="7"/>
      <c r="I3" s="7"/>
      <c r="J3" s="7"/>
      <c r="K3" s="3"/>
      <c r="L3" s="3"/>
      <c r="M3" s="3"/>
      <c r="N3" s="3"/>
      <c r="O3" s="3"/>
      <c r="P3" s="3"/>
      <c r="Q3" s="3"/>
      <c r="R3" s="3"/>
      <c r="S3" s="3"/>
    </row>
    <row r="4" spans="1:19" ht="15" x14ac:dyDescent="0.25">
      <c r="A4" s="8" t="s">
        <v>2</v>
      </c>
      <c r="B4" s="52">
        <v>14000</v>
      </c>
      <c r="C4" s="113" t="s">
        <v>369</v>
      </c>
      <c r="D4" s="10"/>
      <c r="E4" s="9"/>
      <c r="F4" s="6"/>
      <c r="G4" s="10"/>
      <c r="H4" s="7"/>
      <c r="I4" s="7"/>
      <c r="J4" s="7"/>
      <c r="K4" s="3"/>
      <c r="L4" s="3"/>
      <c r="M4" s="3"/>
      <c r="N4" s="3"/>
      <c r="O4" s="3"/>
      <c r="P4" s="3"/>
      <c r="Q4" s="3"/>
      <c r="R4" s="3"/>
      <c r="S4" s="3"/>
    </row>
    <row r="5" spans="1:19" ht="15" x14ac:dyDescent="0.25">
      <c r="A5" s="11" t="s">
        <v>20</v>
      </c>
      <c r="B5" s="12">
        <v>5</v>
      </c>
      <c r="C5" s="48" t="s">
        <v>22</v>
      </c>
      <c r="D5" s="11"/>
      <c r="E5" s="13"/>
      <c r="F5" s="6"/>
      <c r="G5" s="14"/>
      <c r="H5" s="7"/>
      <c r="I5" s="7"/>
      <c r="J5" s="7"/>
      <c r="K5" s="3"/>
      <c r="L5" s="3"/>
      <c r="M5" s="3"/>
      <c r="N5" s="3"/>
      <c r="O5" s="3"/>
      <c r="P5" s="3"/>
      <c r="Q5" s="3"/>
      <c r="R5" s="3"/>
      <c r="S5" s="3"/>
    </row>
    <row r="6" spans="1:19" ht="15" x14ac:dyDescent="0.25">
      <c r="A6" s="11" t="s">
        <v>3</v>
      </c>
      <c r="B6" s="52">
        <f>B4/B5</f>
        <v>2800</v>
      </c>
      <c r="C6" s="48" t="s">
        <v>24</v>
      </c>
      <c r="D6" s="11"/>
      <c r="E6" s="13"/>
      <c r="F6" s="6"/>
      <c r="G6" s="14"/>
      <c r="H6" s="7"/>
      <c r="I6" s="7"/>
      <c r="J6" s="7"/>
      <c r="K6" s="3"/>
      <c r="L6" s="3"/>
      <c r="M6" s="3"/>
      <c r="N6" s="3"/>
      <c r="O6" s="3"/>
      <c r="P6" s="3"/>
      <c r="Q6" s="3"/>
      <c r="R6" s="3"/>
      <c r="S6" s="3"/>
    </row>
    <row r="7" spans="1:19" ht="15" x14ac:dyDescent="0.25">
      <c r="A7" s="3" t="s">
        <v>19</v>
      </c>
      <c r="B7" s="112">
        <v>0.28000000000000003</v>
      </c>
      <c r="C7" s="49" t="s">
        <v>23</v>
      </c>
      <c r="D7" s="3"/>
      <c r="E7" s="3"/>
      <c r="F7" s="6"/>
      <c r="G7" s="14"/>
      <c r="H7" s="7"/>
      <c r="I7" s="7"/>
      <c r="J7" s="16"/>
      <c r="K7" s="3"/>
      <c r="L7" s="3"/>
      <c r="M7" s="3"/>
      <c r="N7" s="3"/>
      <c r="O7" s="3"/>
      <c r="P7" s="3"/>
      <c r="Q7" s="3"/>
      <c r="R7" s="3"/>
      <c r="S7" s="3"/>
    </row>
    <row r="8" spans="1:19" ht="15" x14ac:dyDescent="0.25">
      <c r="A8" s="11" t="s">
        <v>28</v>
      </c>
      <c r="B8" s="17">
        <f>'Your Company''s FS'!L35</f>
        <v>46674</v>
      </c>
      <c r="C8" s="3" t="s">
        <v>30</v>
      </c>
      <c r="D8" s="6"/>
      <c r="E8" s="20"/>
      <c r="F8" s="20"/>
      <c r="G8" s="20"/>
      <c r="H8" s="20"/>
      <c r="I8" s="20"/>
      <c r="J8" s="20"/>
      <c r="K8" s="20"/>
      <c r="L8" s="20"/>
      <c r="M8" s="3"/>
      <c r="N8" s="3"/>
      <c r="O8" s="3"/>
      <c r="P8" s="3"/>
      <c r="Q8" s="3"/>
      <c r="R8" s="3"/>
      <c r="S8" s="3"/>
    </row>
    <row r="9" spans="1:19" ht="15" x14ac:dyDescent="0.25">
      <c r="A9" s="11" t="s">
        <v>29</v>
      </c>
      <c r="B9" s="110">
        <f>'Your Company''s FS'!L35/'Your Company''s FS'!L11</f>
        <v>0.19041130539078499</v>
      </c>
      <c r="C9" s="9" t="s">
        <v>31</v>
      </c>
      <c r="D9" s="6"/>
      <c r="E9" s="20"/>
      <c r="F9" s="20"/>
      <c r="G9" s="20"/>
      <c r="H9" s="20"/>
      <c r="I9" s="20"/>
      <c r="J9" s="20"/>
      <c r="K9" s="20"/>
      <c r="L9" s="20"/>
      <c r="M9" s="3"/>
      <c r="N9" s="3"/>
      <c r="O9" s="3"/>
      <c r="P9" s="3"/>
      <c r="Q9" s="3"/>
      <c r="R9" s="3"/>
      <c r="S9" s="3"/>
    </row>
    <row r="10" spans="1:19" ht="15" x14ac:dyDescent="0.25">
      <c r="A10" s="11" t="s">
        <v>4</v>
      </c>
      <c r="B10" s="82">
        <f>0.01*C19</f>
        <v>147.07320000000001</v>
      </c>
      <c r="C10" s="21" t="s">
        <v>50</v>
      </c>
      <c r="D10" s="21"/>
      <c r="E10" s="20"/>
      <c r="F10" s="20"/>
      <c r="G10" s="20"/>
      <c r="H10" s="20"/>
      <c r="I10" s="20"/>
      <c r="J10" s="20"/>
      <c r="K10" s="20"/>
      <c r="L10" s="20"/>
      <c r="M10" s="3"/>
      <c r="N10" s="3"/>
      <c r="O10" s="3"/>
      <c r="P10" s="3"/>
      <c r="Q10" s="3"/>
      <c r="R10" s="3"/>
      <c r="S10" s="3"/>
    </row>
    <row r="11" spans="1:19" ht="15" x14ac:dyDescent="0.25">
      <c r="A11" s="22" t="s">
        <v>34</v>
      </c>
      <c r="B11" s="12">
        <v>0</v>
      </c>
      <c r="C11" s="21" t="s">
        <v>36</v>
      </c>
      <c r="D11" s="21"/>
      <c r="E11" s="20"/>
      <c r="F11" s="20"/>
      <c r="G11" s="20"/>
      <c r="H11" s="20"/>
      <c r="I11" s="20"/>
      <c r="J11" s="20"/>
      <c r="K11" s="20"/>
      <c r="L11" s="20"/>
      <c r="M11" s="3"/>
      <c r="N11" s="3"/>
      <c r="O11" s="3"/>
      <c r="P11" s="3"/>
      <c r="Q11" s="3"/>
      <c r="R11" s="3"/>
      <c r="S11" s="3"/>
    </row>
    <row r="12" spans="1:19" ht="15" x14ac:dyDescent="0.25">
      <c r="A12" s="22" t="s">
        <v>5</v>
      </c>
      <c r="B12" s="51">
        <v>0.21</v>
      </c>
      <c r="C12" s="9"/>
      <c r="D12" s="6"/>
      <c r="E12" s="9"/>
      <c r="F12" s="6"/>
      <c r="G12" s="14"/>
      <c r="H12" s="7"/>
      <c r="I12" s="7"/>
      <c r="J12" s="16"/>
      <c r="K12" s="3"/>
      <c r="L12" s="3"/>
      <c r="M12" s="3"/>
      <c r="N12" s="3"/>
      <c r="O12" s="3"/>
      <c r="P12" s="3"/>
      <c r="Q12" s="3"/>
      <c r="R12" s="3"/>
      <c r="S12" s="3"/>
    </row>
    <row r="13" spans="1:19" ht="15" x14ac:dyDescent="0.25">
      <c r="A13" s="22" t="s">
        <v>6</v>
      </c>
      <c r="B13" s="51">
        <v>0.12</v>
      </c>
      <c r="C13" s="9"/>
      <c r="D13" s="6"/>
      <c r="E13" s="9"/>
      <c r="F13" s="6"/>
      <c r="G13" s="14"/>
      <c r="H13" s="7"/>
      <c r="I13" s="7"/>
      <c r="J13" s="16"/>
      <c r="K13" s="3"/>
      <c r="L13" s="3"/>
      <c r="M13" s="3"/>
      <c r="N13" s="3"/>
      <c r="O13" s="3"/>
      <c r="P13" s="3"/>
      <c r="Q13" s="3"/>
      <c r="R13" s="3"/>
      <c r="S13" s="3"/>
    </row>
    <row r="14" spans="1:19" ht="15" x14ac:dyDescent="0.25">
      <c r="A14" s="10" t="s">
        <v>33</v>
      </c>
      <c r="B14" s="52">
        <f>0.06*'Your Company''s FS'!L11</f>
        <v>14707.32</v>
      </c>
      <c r="C14" s="13" t="s">
        <v>51</v>
      </c>
      <c r="D14" s="18"/>
      <c r="E14" s="2"/>
      <c r="F14" s="6"/>
      <c r="G14" s="14"/>
      <c r="H14" s="7"/>
      <c r="I14" s="19"/>
      <c r="J14" s="19"/>
      <c r="K14" s="18"/>
      <c r="L14" s="18"/>
      <c r="M14" s="3"/>
      <c r="N14" s="3"/>
      <c r="O14" s="3"/>
      <c r="P14" s="3"/>
      <c r="Q14" s="3"/>
      <c r="R14" s="3"/>
      <c r="S14" s="3"/>
    </row>
    <row r="15" spans="1:19" ht="15" x14ac:dyDescent="0.25">
      <c r="A15" s="46" t="s">
        <v>35</v>
      </c>
      <c r="B15" s="47"/>
      <c r="C15" s="111">
        <v>0.06</v>
      </c>
      <c r="D15" s="111">
        <v>0.15</v>
      </c>
      <c r="E15" s="51">
        <v>0.14000000000000001</v>
      </c>
      <c r="F15" s="50">
        <v>0.1</v>
      </c>
      <c r="G15" s="50">
        <v>0.06</v>
      </c>
      <c r="H15" s="7"/>
      <c r="I15" s="7"/>
      <c r="J15" s="16"/>
      <c r="K15" s="3"/>
      <c r="L15" s="3"/>
      <c r="M15" s="3"/>
      <c r="N15" s="3"/>
      <c r="O15" s="3"/>
      <c r="P15" s="3"/>
      <c r="Q15" s="3"/>
      <c r="R15" s="3"/>
      <c r="S15" s="3"/>
    </row>
    <row r="16" spans="1:19" ht="15" x14ac:dyDescent="0.25">
      <c r="A16" s="7"/>
      <c r="B16" s="24" t="s">
        <v>7</v>
      </c>
      <c r="C16" s="24" t="s">
        <v>7</v>
      </c>
      <c r="D16" s="24" t="s">
        <v>7</v>
      </c>
      <c r="E16" s="24" t="s">
        <v>7</v>
      </c>
      <c r="F16" s="24" t="s">
        <v>7</v>
      </c>
      <c r="G16" s="24" t="s">
        <v>7</v>
      </c>
      <c r="H16" s="24"/>
      <c r="I16" s="24"/>
      <c r="J16" s="16"/>
      <c r="K16" s="3"/>
      <c r="L16" s="3"/>
      <c r="M16" s="3"/>
      <c r="N16" s="3"/>
      <c r="O16" s="3"/>
      <c r="P16" s="3"/>
      <c r="Q16" s="3"/>
      <c r="R16" s="3"/>
      <c r="S16" s="3"/>
    </row>
    <row r="17" spans="1:19" ht="15" x14ac:dyDescent="0.25">
      <c r="A17" s="7"/>
      <c r="B17" s="24">
        <f>'Template - Dell'!B17</f>
        <v>2025</v>
      </c>
      <c r="C17" s="24">
        <f>B17+1</f>
        <v>2026</v>
      </c>
      <c r="D17" s="24">
        <f>C17+1</f>
        <v>2027</v>
      </c>
      <c r="E17" s="24">
        <f>D17+1</f>
        <v>2028</v>
      </c>
      <c r="F17" s="24">
        <f>E17+1</f>
        <v>2029</v>
      </c>
      <c r="G17" s="24">
        <f>F17+1</f>
        <v>2030</v>
      </c>
      <c r="H17" s="24"/>
      <c r="I17" s="24"/>
      <c r="J17" s="16"/>
      <c r="K17" s="3"/>
      <c r="L17" s="3"/>
      <c r="M17" s="3"/>
      <c r="N17" s="3"/>
      <c r="O17" s="3"/>
      <c r="P17" s="3"/>
      <c r="Q17" s="3"/>
      <c r="R17" s="3"/>
      <c r="S17" s="3"/>
    </row>
    <row r="18" spans="1:19" ht="15" x14ac:dyDescent="0.25">
      <c r="A18" s="25" t="s">
        <v>8</v>
      </c>
      <c r="B18" s="26">
        <v>0</v>
      </c>
      <c r="C18" s="27">
        <v>1</v>
      </c>
      <c r="D18" s="27">
        <v>2</v>
      </c>
      <c r="E18" s="27">
        <v>3</v>
      </c>
      <c r="F18" s="27">
        <v>4</v>
      </c>
      <c r="G18" s="27">
        <v>5</v>
      </c>
      <c r="H18" s="27"/>
      <c r="I18" s="7"/>
      <c r="J18" s="7"/>
      <c r="K18" s="3"/>
      <c r="L18" s="3"/>
      <c r="M18" s="3"/>
      <c r="N18" s="3"/>
      <c r="O18" s="3"/>
      <c r="P18" s="3"/>
      <c r="Q18" s="3"/>
      <c r="R18" s="3"/>
      <c r="S18" s="3"/>
    </row>
    <row r="19" spans="1:19" ht="15" x14ac:dyDescent="0.25">
      <c r="A19" s="8" t="s">
        <v>32</v>
      </c>
      <c r="B19" s="28"/>
      <c r="C19" s="84">
        <f>B14</f>
        <v>14707.32</v>
      </c>
      <c r="D19" s="84">
        <f>C19*(1+D15)</f>
        <v>16913.417999999998</v>
      </c>
      <c r="E19" s="84">
        <f t="shared" ref="E19:G19" si="0">D19*(1+E15)</f>
        <v>19281.29652</v>
      </c>
      <c r="F19" s="84">
        <f t="shared" si="0"/>
        <v>21209.426172000003</v>
      </c>
      <c r="G19" s="84">
        <f t="shared" si="0"/>
        <v>22481.991742320006</v>
      </c>
      <c r="H19" s="29"/>
      <c r="I19" s="29"/>
      <c r="J19" s="7"/>
      <c r="K19" s="3"/>
      <c r="L19" s="3"/>
      <c r="M19" s="3"/>
      <c r="N19" s="3"/>
      <c r="O19" s="3"/>
      <c r="P19" s="3"/>
      <c r="Q19" s="3"/>
      <c r="R19" s="3"/>
      <c r="S19" s="3"/>
    </row>
    <row r="20" spans="1:19" ht="15" x14ac:dyDescent="0.25">
      <c r="A20" s="10" t="s">
        <v>25</v>
      </c>
      <c r="B20" s="30"/>
      <c r="C20" s="85">
        <f>C19*$B$7</f>
        <v>4118.0496000000003</v>
      </c>
      <c r="D20" s="85">
        <f t="shared" ref="D20:G20" si="1">D19*$B$7</f>
        <v>4735.7570399999995</v>
      </c>
      <c r="E20" s="85">
        <f t="shared" si="1"/>
        <v>5398.7630256000002</v>
      </c>
      <c r="F20" s="85">
        <f t="shared" si="1"/>
        <v>5938.6393281600012</v>
      </c>
      <c r="G20" s="85">
        <f t="shared" si="1"/>
        <v>6294.9576878496018</v>
      </c>
      <c r="H20" s="31"/>
      <c r="I20" s="31"/>
      <c r="J20" s="7"/>
      <c r="K20" s="3"/>
      <c r="L20" s="3"/>
      <c r="M20" s="3"/>
      <c r="N20" s="3"/>
      <c r="O20" s="3"/>
      <c r="P20" s="3"/>
      <c r="Q20" s="3"/>
      <c r="R20" s="3"/>
      <c r="S20" s="3"/>
    </row>
    <row r="21" spans="1:19" ht="15" x14ac:dyDescent="0.25">
      <c r="A21" s="10" t="s">
        <v>26</v>
      </c>
      <c r="B21" s="30"/>
      <c r="C21" s="85">
        <f>B6</f>
        <v>2800</v>
      </c>
      <c r="D21" s="85">
        <f>C21</f>
        <v>2800</v>
      </c>
      <c r="E21" s="85">
        <f t="shared" ref="E21:G21" si="2">D21</f>
        <v>2800</v>
      </c>
      <c r="F21" s="85">
        <f t="shared" si="2"/>
        <v>2800</v>
      </c>
      <c r="G21" s="85">
        <f t="shared" si="2"/>
        <v>2800</v>
      </c>
      <c r="H21" s="31"/>
      <c r="I21" s="31"/>
      <c r="J21" s="7"/>
      <c r="K21" s="3"/>
      <c r="L21" s="3"/>
      <c r="M21" s="3"/>
      <c r="N21" s="3"/>
      <c r="O21" s="3"/>
      <c r="P21" s="3"/>
      <c r="Q21" s="3"/>
      <c r="R21" s="3"/>
      <c r="S21" s="3"/>
    </row>
    <row r="22" spans="1:19" ht="15" x14ac:dyDescent="0.25">
      <c r="A22" s="10" t="s">
        <v>27</v>
      </c>
      <c r="B22" s="30"/>
      <c r="C22" s="85">
        <f>(C20-C21)*$B$12</f>
        <v>276.79041600000005</v>
      </c>
      <c r="D22" s="85">
        <f t="shared" ref="D22:G22" si="3">(D20-D21)*$B$12</f>
        <v>406.50897839999988</v>
      </c>
      <c r="E22" s="85">
        <f t="shared" si="3"/>
        <v>545.74023537599999</v>
      </c>
      <c r="F22" s="85">
        <f t="shared" si="3"/>
        <v>659.11425891360022</v>
      </c>
      <c r="G22" s="85">
        <f t="shared" si="3"/>
        <v>733.94111444841633</v>
      </c>
      <c r="H22" s="31"/>
      <c r="I22" s="31"/>
      <c r="J22" s="7"/>
      <c r="K22" s="3"/>
      <c r="L22" s="3"/>
      <c r="M22" s="3"/>
      <c r="N22" s="3"/>
      <c r="O22" s="3"/>
      <c r="P22" s="3"/>
      <c r="Q22" s="3"/>
      <c r="R22" s="3"/>
      <c r="S22" s="3"/>
    </row>
    <row r="23" spans="1:19" ht="15" x14ac:dyDescent="0.25">
      <c r="A23" s="6" t="s">
        <v>9</v>
      </c>
      <c r="B23" s="30"/>
      <c r="C23" s="85">
        <f>(C20-C21)*(1-$B$12)</f>
        <v>1041.2591840000002</v>
      </c>
      <c r="D23" s="85">
        <f t="shared" ref="D23:G23" si="4">(D20-D21)*(1-$B$12)</f>
        <v>1529.2480615999996</v>
      </c>
      <c r="E23" s="85">
        <f t="shared" si="4"/>
        <v>2053.0227902240003</v>
      </c>
      <c r="F23" s="85">
        <f t="shared" si="4"/>
        <v>2479.525069246401</v>
      </c>
      <c r="G23" s="85">
        <f t="shared" si="4"/>
        <v>2761.0165734011857</v>
      </c>
      <c r="H23" s="31"/>
      <c r="I23" s="31"/>
      <c r="J23" s="7"/>
      <c r="K23" s="3"/>
      <c r="L23" s="3"/>
      <c r="M23" s="3"/>
      <c r="N23" s="3"/>
      <c r="O23" s="3"/>
      <c r="P23" s="3"/>
      <c r="Q23" s="3"/>
      <c r="R23" s="3"/>
      <c r="S23" s="3"/>
    </row>
    <row r="24" spans="1:19" ht="15" x14ac:dyDescent="0.25">
      <c r="A24" s="10"/>
      <c r="B24" s="31"/>
      <c r="C24" s="31"/>
      <c r="D24" s="31"/>
      <c r="E24" s="31"/>
      <c r="F24" s="31"/>
      <c r="G24" s="31"/>
      <c r="H24" s="32"/>
      <c r="I24" s="32"/>
      <c r="J24" s="7"/>
      <c r="K24" s="3"/>
      <c r="L24" s="3"/>
      <c r="M24" s="3"/>
      <c r="N24" s="3"/>
      <c r="O24" s="3"/>
      <c r="P24" s="3"/>
      <c r="Q24" s="3"/>
      <c r="R24" s="3"/>
      <c r="S24" s="3"/>
    </row>
    <row r="25" spans="1:19" ht="15" x14ac:dyDescent="0.25">
      <c r="A25" s="33" t="s">
        <v>10</v>
      </c>
      <c r="B25" s="31"/>
      <c r="C25" s="31"/>
      <c r="D25" s="31"/>
      <c r="E25" s="31"/>
      <c r="F25" s="31"/>
      <c r="G25" s="31"/>
      <c r="H25" s="31"/>
      <c r="I25" s="32"/>
      <c r="J25" s="7"/>
      <c r="K25" s="3"/>
      <c r="L25" s="3"/>
      <c r="M25" s="3"/>
      <c r="N25" s="3"/>
      <c r="O25" s="3"/>
      <c r="P25" s="3"/>
      <c r="Q25" s="3"/>
      <c r="R25" s="3"/>
      <c r="S25" s="3"/>
    </row>
    <row r="26" spans="1:19" ht="15" x14ac:dyDescent="0.25">
      <c r="A26" s="6" t="s">
        <v>11</v>
      </c>
      <c r="B26" s="85">
        <f>B10</f>
        <v>147.07320000000001</v>
      </c>
      <c r="C26" s="85">
        <f>C19*$B$9</f>
        <v>2800.44</v>
      </c>
      <c r="D26" s="85">
        <f t="shared" ref="D26:F26" si="5">D19*$B$9</f>
        <v>3220.5059999999994</v>
      </c>
      <c r="E26" s="85">
        <f t="shared" si="5"/>
        <v>3671.3768399999999</v>
      </c>
      <c r="F26" s="85">
        <f t="shared" si="5"/>
        <v>4038.5145240000006</v>
      </c>
      <c r="G26" s="31">
        <v>0</v>
      </c>
      <c r="H26" s="31"/>
      <c r="I26" s="32"/>
      <c r="J26" s="7"/>
      <c r="K26" s="3"/>
      <c r="L26" s="3"/>
      <c r="M26" s="3"/>
      <c r="N26" s="3"/>
      <c r="O26" s="3"/>
      <c r="P26" s="3"/>
      <c r="Q26" s="3"/>
      <c r="R26" s="3"/>
      <c r="S26" s="3"/>
    </row>
    <row r="27" spans="1:19" ht="15" x14ac:dyDescent="0.25">
      <c r="A27" s="6" t="s">
        <v>12</v>
      </c>
      <c r="B27" s="31"/>
      <c r="C27" s="85">
        <f>C26-B26</f>
        <v>2653.3668000000002</v>
      </c>
      <c r="D27" s="85">
        <f t="shared" ref="D27:G27" si="6">D26-C26</f>
        <v>420.06599999999935</v>
      </c>
      <c r="E27" s="85">
        <f t="shared" si="6"/>
        <v>450.8708400000005</v>
      </c>
      <c r="F27" s="85">
        <f t="shared" si="6"/>
        <v>367.13768400000072</v>
      </c>
      <c r="G27" s="85">
        <f t="shared" si="6"/>
        <v>-4038.5145240000006</v>
      </c>
      <c r="H27" s="31"/>
      <c r="I27" s="32"/>
      <c r="J27" s="7"/>
      <c r="K27" s="3"/>
      <c r="L27" s="3"/>
      <c r="M27" s="3"/>
      <c r="N27" s="3"/>
      <c r="O27" s="3"/>
      <c r="P27" s="3"/>
      <c r="Q27" s="3"/>
      <c r="R27" s="3"/>
      <c r="S27" s="3"/>
    </row>
    <row r="28" spans="1:19" ht="15" x14ac:dyDescent="0.25">
      <c r="A28" s="6" t="s">
        <v>13</v>
      </c>
      <c r="B28" s="31"/>
      <c r="C28" s="85">
        <f>-C27</f>
        <v>-2653.3668000000002</v>
      </c>
      <c r="D28" s="85">
        <f t="shared" ref="D28:G28" si="7">-D27</f>
        <v>-420.06599999999935</v>
      </c>
      <c r="E28" s="85">
        <f t="shared" si="7"/>
        <v>-450.8708400000005</v>
      </c>
      <c r="F28" s="85">
        <f t="shared" si="7"/>
        <v>-367.13768400000072</v>
      </c>
      <c r="G28" s="85">
        <f t="shared" si="7"/>
        <v>4038.5145240000006</v>
      </c>
      <c r="H28" s="31"/>
      <c r="I28" s="32"/>
      <c r="J28" s="7"/>
      <c r="K28" s="3"/>
      <c r="L28" s="3"/>
      <c r="M28" s="3"/>
      <c r="N28" s="3"/>
      <c r="O28" s="3"/>
      <c r="P28" s="3"/>
      <c r="Q28" s="3"/>
      <c r="R28" s="3"/>
      <c r="S28" s="3"/>
    </row>
    <row r="29" spans="1:19" ht="15" x14ac:dyDescent="0.25">
      <c r="A29" s="7"/>
      <c r="B29" s="32"/>
      <c r="C29" s="32"/>
      <c r="D29" s="32"/>
      <c r="E29" s="32"/>
      <c r="F29" s="32"/>
      <c r="G29" s="32"/>
      <c r="H29" s="32"/>
      <c r="I29" s="32"/>
      <c r="J29" s="7"/>
      <c r="K29" s="3"/>
      <c r="L29" s="3"/>
      <c r="M29" s="3"/>
      <c r="N29" s="3"/>
      <c r="O29" s="3"/>
      <c r="P29" s="3"/>
      <c r="Q29" s="3"/>
      <c r="R29" s="3"/>
      <c r="S29" s="3"/>
    </row>
    <row r="30" spans="1:19" ht="15" x14ac:dyDescent="0.25">
      <c r="A30" s="34" t="s">
        <v>37</v>
      </c>
      <c r="B30" s="31"/>
      <c r="C30" s="31"/>
      <c r="D30" s="31"/>
      <c r="E30" s="31"/>
      <c r="F30" s="31"/>
      <c r="G30" s="31"/>
      <c r="H30" s="31"/>
      <c r="I30" s="32"/>
      <c r="J30" s="7"/>
      <c r="K30" s="3"/>
      <c r="L30" s="3"/>
      <c r="M30" s="3"/>
      <c r="N30" s="3"/>
      <c r="O30" s="3"/>
      <c r="P30" s="3"/>
      <c r="Q30" s="3"/>
      <c r="R30" s="3"/>
      <c r="S30" s="3"/>
    </row>
    <row r="31" spans="1:19" ht="15" x14ac:dyDescent="0.25">
      <c r="A31" s="6" t="s">
        <v>9</v>
      </c>
      <c r="B31" s="54"/>
      <c r="C31" s="85">
        <f>(C20-C21)*(1-$B$12)</f>
        <v>1041.2591840000002</v>
      </c>
      <c r="D31" s="85">
        <f t="shared" ref="D31:G31" si="8">(D20-D21)*(1-$B$12)</f>
        <v>1529.2480615999996</v>
      </c>
      <c r="E31" s="85">
        <f t="shared" si="8"/>
        <v>2053.0227902240003</v>
      </c>
      <c r="F31" s="85">
        <f t="shared" si="8"/>
        <v>2479.525069246401</v>
      </c>
      <c r="G31" s="85">
        <f t="shared" si="8"/>
        <v>2761.0165734011857</v>
      </c>
      <c r="H31" s="31"/>
      <c r="I31" s="32"/>
      <c r="J31" s="7"/>
      <c r="K31" s="3"/>
      <c r="L31" s="3"/>
      <c r="M31" s="3"/>
      <c r="N31" s="3"/>
      <c r="O31" s="3"/>
      <c r="P31" s="3"/>
      <c r="Q31" s="3"/>
      <c r="R31" s="3"/>
      <c r="S31" s="3"/>
    </row>
    <row r="32" spans="1:19" ht="15" x14ac:dyDescent="0.25">
      <c r="A32" s="6" t="s">
        <v>41</v>
      </c>
      <c r="B32" s="31"/>
      <c r="C32" s="85">
        <f>C21</f>
        <v>2800</v>
      </c>
      <c r="D32" s="85">
        <f t="shared" ref="D32:G32" si="9">D21</f>
        <v>2800</v>
      </c>
      <c r="E32" s="85">
        <f t="shared" si="9"/>
        <v>2800</v>
      </c>
      <c r="F32" s="85">
        <f t="shared" si="9"/>
        <v>2800</v>
      </c>
      <c r="G32" s="85">
        <f t="shared" si="9"/>
        <v>2800</v>
      </c>
      <c r="H32" s="31"/>
      <c r="I32" s="32"/>
      <c r="J32" s="7"/>
      <c r="K32" s="3"/>
      <c r="L32" s="3"/>
      <c r="M32" s="3"/>
      <c r="N32" s="3"/>
      <c r="O32" s="3"/>
      <c r="P32" s="3"/>
      <c r="Q32" s="3"/>
      <c r="R32" s="3"/>
      <c r="S32" s="3"/>
    </row>
    <row r="33" spans="1:19" ht="15" x14ac:dyDescent="0.25">
      <c r="A33" s="6" t="s">
        <v>39</v>
      </c>
      <c r="B33" s="31"/>
      <c r="C33" s="85">
        <f>C27</f>
        <v>2653.3668000000002</v>
      </c>
      <c r="D33" s="85">
        <f t="shared" ref="D33:G33" si="10">D27</f>
        <v>420.06599999999935</v>
      </c>
      <c r="E33" s="85">
        <f t="shared" si="10"/>
        <v>450.8708400000005</v>
      </c>
      <c r="F33" s="85">
        <f t="shared" si="10"/>
        <v>367.13768400000072</v>
      </c>
      <c r="G33" s="85">
        <f t="shared" si="10"/>
        <v>-4038.5145240000006</v>
      </c>
      <c r="H33" s="31"/>
      <c r="I33" s="32"/>
      <c r="J33" s="7"/>
      <c r="K33" s="3"/>
      <c r="L33" s="3"/>
      <c r="M33" s="3"/>
      <c r="N33" s="3"/>
      <c r="O33" s="3"/>
      <c r="P33" s="3"/>
      <c r="Q33" s="3"/>
      <c r="R33" s="3"/>
      <c r="S33" s="3"/>
    </row>
    <row r="34" spans="1:19" ht="15" x14ac:dyDescent="0.25">
      <c r="A34" s="6" t="s">
        <v>40</v>
      </c>
      <c r="B34" s="31">
        <f>B4</f>
        <v>14000</v>
      </c>
      <c r="C34" s="31">
        <v>0</v>
      </c>
      <c r="D34" s="31">
        <v>0</v>
      </c>
      <c r="E34" s="31">
        <v>0</v>
      </c>
      <c r="F34" s="31">
        <v>0</v>
      </c>
      <c r="G34" s="31">
        <v>0</v>
      </c>
      <c r="H34" s="31"/>
      <c r="I34" s="32"/>
      <c r="J34" s="7"/>
      <c r="K34" s="3"/>
      <c r="L34" s="3"/>
      <c r="M34" s="3"/>
      <c r="N34" s="3"/>
      <c r="O34" s="3"/>
      <c r="P34" s="3"/>
      <c r="Q34" s="3"/>
      <c r="R34" s="3"/>
      <c r="S34" s="3"/>
    </row>
    <row r="35" spans="1:19" ht="15" x14ac:dyDescent="0.25">
      <c r="A35" s="35" t="s">
        <v>14</v>
      </c>
      <c r="B35" s="31">
        <f>-(B34+B26)</f>
        <v>-14147.073200000001</v>
      </c>
      <c r="C35" s="85">
        <f>C31+C32-C33-C34</f>
        <v>1187.8923840000002</v>
      </c>
      <c r="D35" s="85">
        <f t="shared" ref="D35:G35" si="11">D31+D32-D33-D34</f>
        <v>3909.1820616</v>
      </c>
      <c r="E35" s="85">
        <f t="shared" si="11"/>
        <v>4402.1519502239998</v>
      </c>
      <c r="F35" s="85">
        <f t="shared" si="11"/>
        <v>4912.3873852464003</v>
      </c>
      <c r="G35" s="85">
        <f t="shared" si="11"/>
        <v>9599.5310974011863</v>
      </c>
      <c r="H35" s="31"/>
      <c r="I35" s="32"/>
      <c r="J35" s="7"/>
      <c r="K35" s="3"/>
      <c r="L35" s="3"/>
      <c r="M35" s="3"/>
      <c r="N35" s="3"/>
      <c r="O35" s="3"/>
      <c r="P35" s="3"/>
      <c r="Q35" s="3"/>
      <c r="R35" s="3"/>
      <c r="S35" s="3"/>
    </row>
    <row r="36" spans="1:19" ht="15" x14ac:dyDescent="0.25">
      <c r="A36" s="6"/>
      <c r="B36" s="31"/>
      <c r="C36" s="31"/>
      <c r="D36" s="31"/>
      <c r="E36" s="31"/>
      <c r="F36" s="31"/>
      <c r="G36" s="31"/>
      <c r="H36" s="31"/>
      <c r="I36" s="32"/>
      <c r="J36" s="7"/>
      <c r="K36" s="3"/>
      <c r="L36" s="3"/>
      <c r="M36" s="3"/>
      <c r="N36" s="3"/>
      <c r="O36" s="3"/>
      <c r="P36" s="3"/>
      <c r="Q36" s="3"/>
      <c r="R36" s="3"/>
      <c r="S36" s="3"/>
    </row>
    <row r="37" spans="1:19" ht="15" x14ac:dyDescent="0.25">
      <c r="A37" s="6" t="s">
        <v>15</v>
      </c>
      <c r="B37" s="36">
        <f>(1/(1+$B$13)^B18)</f>
        <v>1</v>
      </c>
      <c r="C37" s="36">
        <f t="shared" ref="C37:G37" si="12">(1/(1+$B$13)^C18)</f>
        <v>0.89285714285714279</v>
      </c>
      <c r="D37" s="36">
        <f t="shared" si="12"/>
        <v>0.79719387755102034</v>
      </c>
      <c r="E37" s="36">
        <f t="shared" si="12"/>
        <v>0.71178024781341087</v>
      </c>
      <c r="F37" s="36">
        <f t="shared" si="12"/>
        <v>0.63551807840483121</v>
      </c>
      <c r="G37" s="36">
        <f t="shared" si="12"/>
        <v>0.56742685571859919</v>
      </c>
      <c r="H37" s="36"/>
      <c r="I37" s="32"/>
      <c r="J37" s="7"/>
      <c r="K37" s="3"/>
      <c r="L37" s="3"/>
      <c r="M37" s="3"/>
      <c r="N37" s="3"/>
      <c r="O37" s="3"/>
      <c r="P37" s="3"/>
      <c r="Q37" s="3"/>
      <c r="R37" s="3"/>
      <c r="S37" s="3"/>
    </row>
    <row r="38" spans="1:19" ht="15" x14ac:dyDescent="0.25">
      <c r="A38" s="6" t="s">
        <v>16</v>
      </c>
      <c r="B38" s="31">
        <f>B35*B37</f>
        <v>-14147.073200000001</v>
      </c>
      <c r="C38" s="31">
        <f t="shared" ref="C38:G38" si="13">C35*C37</f>
        <v>1060.6182000000001</v>
      </c>
      <c r="D38" s="31">
        <f t="shared" si="13"/>
        <v>3116.3760057397958</v>
      </c>
      <c r="E38" s="31">
        <f t="shared" si="13"/>
        <v>3133.3648060427286</v>
      </c>
      <c r="F38" s="31">
        <f t="shared" si="13"/>
        <v>3121.9109914519254</v>
      </c>
      <c r="G38" s="31">
        <f t="shared" si="13"/>
        <v>5447.0317469712691</v>
      </c>
      <c r="H38" s="31"/>
      <c r="I38" s="32"/>
      <c r="J38" s="7"/>
      <c r="K38" s="3"/>
      <c r="L38" s="3"/>
      <c r="M38" s="3"/>
      <c r="N38" s="3"/>
      <c r="O38" s="3"/>
      <c r="P38" s="3"/>
      <c r="Q38" s="3"/>
      <c r="R38" s="3"/>
      <c r="S38" s="3"/>
    </row>
    <row r="39" spans="1:19" ht="15" x14ac:dyDescent="0.25">
      <c r="A39" s="37" t="s">
        <v>17</v>
      </c>
      <c r="B39" s="38">
        <f>B35+NPV(B13,C35,D35,E35,F35,G35)</f>
        <v>1732.2285502057166</v>
      </c>
      <c r="C39" s="32"/>
      <c r="D39" s="32"/>
      <c r="E39" s="32"/>
      <c r="F39" s="32"/>
      <c r="G39" s="32"/>
      <c r="H39" s="32"/>
      <c r="I39" s="32"/>
      <c r="J39" s="7"/>
      <c r="K39" s="3"/>
      <c r="L39" s="3"/>
      <c r="M39" s="3"/>
      <c r="N39" s="3"/>
      <c r="O39" s="3"/>
      <c r="P39" s="3"/>
      <c r="Q39" s="3"/>
      <c r="R39" s="3"/>
      <c r="S39" s="3"/>
    </row>
    <row r="40" spans="1:19" ht="15" x14ac:dyDescent="0.25">
      <c r="A40" s="3"/>
      <c r="B40" s="39"/>
      <c r="C40" s="39"/>
      <c r="D40" s="39"/>
      <c r="E40" s="39"/>
      <c r="F40" s="39"/>
      <c r="G40" s="39"/>
      <c r="H40" s="39"/>
      <c r="I40" s="32"/>
      <c r="J40" s="7"/>
      <c r="K40" s="3"/>
      <c r="L40" s="3"/>
      <c r="M40" s="3"/>
      <c r="N40" s="3"/>
      <c r="O40" s="3"/>
      <c r="P40" s="3"/>
      <c r="Q40" s="3"/>
      <c r="R40" s="3"/>
      <c r="S40" s="3"/>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Dell's Financial Statements</vt:lpstr>
      <vt:lpstr>Template - Dell</vt:lpstr>
      <vt:lpstr>Sensitivity Analysis</vt:lpstr>
      <vt:lpstr>SMA</vt:lpstr>
      <vt:lpstr>Your Company's FS</vt:lpstr>
      <vt:lpstr>DCF Analysis for Your Project</vt:lpstr>
      <vt:lpstr>Alternative Profitability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Matthias Benitez</cp:lastModifiedBy>
  <dcterms:created xsi:type="dcterms:W3CDTF">2025-10-16T22:31:13Z</dcterms:created>
  <dcterms:modified xsi:type="dcterms:W3CDTF">2026-06-29T17:23:16Z</dcterms:modified>
</cp:coreProperties>
</file>