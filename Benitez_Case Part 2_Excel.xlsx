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xr:revisionPtr revIDLastSave="191" documentId="13_ncr:1_{597A7A9E-2633-41F8-A9A4-96F2FFA40224}" xr6:coauthVersionLast="47" xr6:coauthVersionMax="47" xr10:uidLastSave="{94A68A52-46EF-4561-A53B-4A197B091F9A}"/>
  <bookViews>
    <workbookView xWindow="2535" yWindow="1365" windowWidth="33810" windowHeight="14970" xr2:uid="{00000000-000D-0000-FFFF-FFFF00000000}"/>
  </bookViews>
  <sheets>
    <sheet name="Dell's Complete Financials" sheetId="4" r:id="rId1"/>
    <sheet name="Dell's cost of capital" sheetId="9" r:id="rId2"/>
    <sheet name="Your Company's Financials" sheetId="5" r:id="rId3"/>
    <sheet name="Your Company's Cost of Capital" sheetId="6" r:id="rId4"/>
    <sheet name="Update Q6 in Case Part I.2" sheetId="7"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6" l="1"/>
  <c r="C19" i="6"/>
  <c r="B13" i="7"/>
  <c r="C5" i="6"/>
  <c r="J12" i="6"/>
  <c r="H12" i="6"/>
  <c r="L12" i="6"/>
  <c r="N12" i="6"/>
  <c r="C23" i="6"/>
  <c r="L15" i="6"/>
  <c r="J15" i="6"/>
  <c r="F12" i="6"/>
  <c r="C37" i="7" l="1"/>
  <c r="B37" i="7"/>
  <c r="B34" i="7"/>
  <c r="C32" i="7"/>
  <c r="D21" i="7"/>
  <c r="E21" i="7" s="1"/>
  <c r="C21" i="7"/>
  <c r="B14" i="7"/>
  <c r="C19" i="7" s="1"/>
  <c r="C26" i="7" s="1"/>
  <c r="B9" i="7"/>
  <c r="B8" i="7"/>
  <c r="B7" i="7"/>
  <c r="B6" i="7"/>
  <c r="D37" i="7" l="1"/>
  <c r="E37" i="7"/>
  <c r="F37" i="7"/>
  <c r="G37" i="7"/>
  <c r="E32" i="7"/>
  <c r="F21" i="7"/>
  <c r="C20" i="7"/>
  <c r="D32" i="7"/>
  <c r="B10" i="7"/>
  <c r="B26" i="7" s="1"/>
  <c r="C27" i="7" s="1"/>
  <c r="D19" i="7"/>
  <c r="D26" i="7" s="1"/>
  <c r="D27" i="7" s="1"/>
  <c r="D28" i="7" s="1"/>
  <c r="C28" i="7" l="1"/>
  <c r="C33" i="7"/>
  <c r="B35" i="7"/>
  <c r="E19" i="7"/>
  <c r="E26" i="7" s="1"/>
  <c r="E27" i="7" s="1"/>
  <c r="E28" i="7" s="1"/>
  <c r="D20" i="7"/>
  <c r="F32" i="7"/>
  <c r="G21" i="7"/>
  <c r="G32" i="7" s="1"/>
  <c r="C31" i="7"/>
  <c r="C35" i="7" s="1"/>
  <c r="C38" i="7" s="1"/>
  <c r="C22" i="7"/>
  <c r="C23" i="7"/>
  <c r="B38" i="7" l="1"/>
  <c r="D31" i="7"/>
  <c r="D22" i="7"/>
  <c r="D23" i="7"/>
  <c r="F19" i="7"/>
  <c r="F26" i="7" s="1"/>
  <c r="E20" i="7"/>
  <c r="D33" i="7"/>
  <c r="G27" i="7" l="1"/>
  <c r="G28" i="7" s="1"/>
  <c r="F27" i="7"/>
  <c r="F28" i="7" s="1"/>
  <c r="D35" i="7"/>
  <c r="E33" i="7"/>
  <c r="E31" i="7"/>
  <c r="E35" i="7" s="1"/>
  <c r="E38" i="7" s="1"/>
  <c r="E22" i="7"/>
  <c r="E23" i="7"/>
  <c r="G19" i="7"/>
  <c r="F20" i="7"/>
  <c r="D38" i="7" l="1"/>
  <c r="G20" i="7"/>
  <c r="G23" i="7" s="1"/>
  <c r="G22" i="7"/>
  <c r="F31" i="7"/>
  <c r="F22" i="7"/>
  <c r="F23" i="7"/>
  <c r="G31" i="7" l="1"/>
  <c r="F33" i="7"/>
  <c r="F35" i="7" s="1"/>
  <c r="G33" i="7"/>
  <c r="G35" i="7" l="1"/>
  <c r="G38" i="7" s="1"/>
  <c r="F38" i="7"/>
  <c r="B39" i="7"/>
  <c r="C18" i="6"/>
  <c r="C15" i="6"/>
  <c r="C14" i="6"/>
  <c r="C13" i="6"/>
  <c r="C12" i="6"/>
  <c r="C9" i="6"/>
  <c r="C2" i="6"/>
  <c r="C23" i="9"/>
  <c r="C20" i="9"/>
  <c r="C19" i="9"/>
  <c r="C18" i="9"/>
  <c r="C14" i="9"/>
  <c r="C15" i="9" s="1"/>
  <c r="C13" i="9"/>
  <c r="C12" i="9"/>
  <c r="C9" i="9"/>
  <c r="C5" i="9"/>
  <c r="C17" i="7"/>
  <c r="D17" i="7" s="1"/>
  <c r="E17" i="7" s="1"/>
  <c r="F17" i="7" s="1"/>
  <c r="G17" i="7" s="1"/>
</calcChain>
</file>

<file path=xl/sharedStrings.xml><?xml version="1.0" encoding="utf-8"?>
<sst xmlns="http://schemas.openxmlformats.org/spreadsheetml/2006/main" count="882" uniqueCount="368">
  <si>
    <t>i</t>
  </si>
  <si>
    <t>ii</t>
  </si>
  <si>
    <t>iii</t>
  </si>
  <si>
    <t>Net Debt</t>
  </si>
  <si>
    <t>WACC</t>
  </si>
  <si>
    <t>equity beta</t>
  </si>
  <si>
    <t xml:space="preserve">Market Value of Equity </t>
  </si>
  <si>
    <t xml:space="preserve">Enterprise Value </t>
  </si>
  <si>
    <t>USD million</t>
  </si>
  <si>
    <t>expected market risk premium</t>
  </si>
  <si>
    <t xml:space="preserve">Shares Outstanding </t>
  </si>
  <si>
    <t>millions</t>
  </si>
  <si>
    <t xml:space="preserve">Stock Price </t>
  </si>
  <si>
    <t>USD</t>
  </si>
  <si>
    <t>The variable "SHARES - Outstanding at Fiscal Year End" reported in the WRDS is in the unit of millions.</t>
  </si>
  <si>
    <t>debt beta</t>
  </si>
  <si>
    <t>cost of equity rE</t>
  </si>
  <si>
    <t>cost of debt rD</t>
  </si>
  <si>
    <t>Cash and Short-Term Investments</t>
  </si>
  <si>
    <t>Debt in Current Liabilities</t>
  </si>
  <si>
    <t>Long-Term Debt - Total</t>
  </si>
  <si>
    <t>Step 1</t>
  </si>
  <si>
    <t>Step 2</t>
  </si>
  <si>
    <t>Latest Fiscal Year</t>
  </si>
  <si>
    <t>Step 3.1</t>
  </si>
  <si>
    <t>Step 3.2</t>
  </si>
  <si>
    <t>Step 3.3</t>
  </si>
  <si>
    <t>Step 4</t>
  </si>
  <si>
    <t>Tax rate</t>
  </si>
  <si>
    <t>risk free rate (5-year Treasury Yield)</t>
  </si>
  <si>
    <t>Financial Statement for: DELL TECHNOLOGIES INC</t>
  </si>
  <si>
    <t>BALANCE SHEET</t>
  </si>
  <si>
    <t>Numbers in millions USD</t>
  </si>
  <si>
    <t>S&amp;P's Credit Rating (if available)</t>
  </si>
  <si>
    <t>NPV for Your Company's Project</t>
  </si>
  <si>
    <t>Assumptions (Amounts in Millions Unless Otherwise Indicated)</t>
  </si>
  <si>
    <t>Initial Capital Expenditure (Year 0)</t>
  </si>
  <si>
    <t>Useful Life of Assets (in year)</t>
  </si>
  <si>
    <t>Annual Depreciation</t>
  </si>
  <si>
    <t>EBITDA/Sales profit margin</t>
  </si>
  <si>
    <t>Net working capital in the last year</t>
  </si>
  <si>
    <t>Net working capital/Sales (Net) in the last year</t>
  </si>
  <si>
    <t>Initial Net Working Capital (Year 0)</t>
  </si>
  <si>
    <t>Net Working Capital in Year 5</t>
  </si>
  <si>
    <t>Tax Rate</t>
  </si>
  <si>
    <t>Cost of Capital</t>
  </si>
  <si>
    <t>Revenues in Year 1</t>
  </si>
  <si>
    <t>Revenue Growth Rate per Year</t>
  </si>
  <si>
    <t>Year</t>
  </si>
  <si>
    <t>Unlevered Income Statements</t>
  </si>
  <si>
    <t>Revenues</t>
  </si>
  <si>
    <t>EBITDA</t>
  </si>
  <si>
    <t>Depreciation</t>
  </si>
  <si>
    <t>Tax</t>
  </si>
  <si>
    <t>Unlevered Net Income</t>
  </si>
  <si>
    <t>Working Capital Calculations</t>
  </si>
  <si>
    <t>NWC Level</t>
  </si>
  <si>
    <t>Change in NWC</t>
  </si>
  <si>
    <t>CF from Change in NWC</t>
  </si>
  <si>
    <t>Calculating Free Cash Flows</t>
  </si>
  <si>
    <t>Add Back Depreciation</t>
  </si>
  <si>
    <t>Subtract Change in NWC</t>
  </si>
  <si>
    <t>Subtract Capital Expenditure</t>
  </si>
  <si>
    <t>Free Cash Flow</t>
  </si>
  <si>
    <t>Discount Factor (1/(1+r)^n)</t>
  </si>
  <si>
    <t>PV(FCF)</t>
  </si>
  <si>
    <t>NPV</t>
  </si>
  <si>
    <t>&lt;-- Use your estimate of the cost of capital for your company here. The final NPV should update automatically if you use cell reference correctly and never hardcoded</t>
  </si>
  <si>
    <t>ASSETS</t>
  </si>
  <si>
    <t xml:space="preserve">            Cash</t>
  </si>
  <si>
    <t xml:space="preserve">            Short-Term Investments</t>
  </si>
  <si>
    <t>Receivables</t>
  </si>
  <si>
    <t xml:space="preserve">            Receivables - Trade</t>
  </si>
  <si>
    <t xml:space="preserve">            Income Tax Refund</t>
  </si>
  <si>
    <t xml:space="preserve">            Current Receivables - Other</t>
  </si>
  <si>
    <t>Inventories - Total</t>
  </si>
  <si>
    <t xml:space="preserve">            Inventories - Raw Materials</t>
  </si>
  <si>
    <t xml:space="preserve">            Inventories - Work in Process</t>
  </si>
  <si>
    <t xml:space="preserve">            Inventories - Finished Goods</t>
  </si>
  <si>
    <t xml:space="preserve">            Inventories - Other</t>
  </si>
  <si>
    <t>Current Assets - Other</t>
  </si>
  <si>
    <t xml:space="preserve">            Prepaid Expense</t>
  </si>
  <si>
    <t xml:space="preserve">            Other Curr.Asst, Excl.Ppd.Exp.</t>
  </si>
  <si>
    <t>Current Assets - Total</t>
  </si>
  <si>
    <t>Prop.Plant &amp; Equip.- Total (Net)</t>
  </si>
  <si>
    <t xml:space="preserve">            P.P.&amp; E.- Total (Gross)</t>
  </si>
  <si>
    <t xml:space="preserve">            Deprec.Depl.&amp; Amort.</t>
  </si>
  <si>
    <t>Invest. &amp; Advances - Eq.Meth.</t>
  </si>
  <si>
    <t>Invest. &amp; Advances - Other</t>
  </si>
  <si>
    <t>Intangibles</t>
  </si>
  <si>
    <t>Assets - Other</t>
  </si>
  <si>
    <t xml:space="preserve">            Deferred Charges</t>
  </si>
  <si>
    <t xml:space="preserve">            Other Asst., Excl.Def.Chg.</t>
  </si>
  <si>
    <t>Assets - Total</t>
  </si>
  <si>
    <t>LIABILITIES</t>
  </si>
  <si>
    <t xml:space="preserve">            Notes Payable</t>
  </si>
  <si>
    <t xml:space="preserve">            Debt - Due in One Year</t>
  </si>
  <si>
    <t>Accounts Payable</t>
  </si>
  <si>
    <t>Income Taxes Payable</t>
  </si>
  <si>
    <t>Current Liabilities - Other</t>
  </si>
  <si>
    <t xml:space="preserve">            Accrued Expense</t>
  </si>
  <si>
    <t xml:space="preserve">            Other Curr.Liab., Excl.Accr.Exp.</t>
  </si>
  <si>
    <t>Current Liabilities - Total</t>
  </si>
  <si>
    <t xml:space="preserve">            Debt - Convertible (Total)</t>
  </si>
  <si>
    <t xml:space="preserve">            Debt - Subordinated Convertible</t>
  </si>
  <si>
    <t xml:space="preserve">            Debt - Senior Convertible</t>
  </si>
  <si>
    <t xml:space="preserve">            Debt - Subordinated</t>
  </si>
  <si>
    <t xml:space="preserve">            Debt - Notes</t>
  </si>
  <si>
    <t xml:space="preserve">            Debt - Debentures</t>
  </si>
  <si>
    <t xml:space="preserve">            Long-Term Debt - Other</t>
  </si>
  <si>
    <t xml:space="preserve">            Debt - Cap. Lease Oblig.</t>
  </si>
  <si>
    <t>Liabilities - Other</t>
  </si>
  <si>
    <t>Def. Taxes and Invest.Tax Cred.</t>
  </si>
  <si>
    <t xml:space="preserve">            Deferred Taxes</t>
  </si>
  <si>
    <t xml:space="preserve">            Investment Tax Credit</t>
  </si>
  <si>
    <t>Noncontrolling Interest - Redeemable</t>
  </si>
  <si>
    <t>Liabilities - Total</t>
  </si>
  <si>
    <t>SHAREHOLDERS' EQUITY</t>
  </si>
  <si>
    <t>Preferred Stock - Carrying Value</t>
  </si>
  <si>
    <t xml:space="preserve">            Pref. Stock - Redeemable</t>
  </si>
  <si>
    <t xml:space="preserve">            Pref. Stock - Nonredeemable</t>
  </si>
  <si>
    <t>Common Equity - Total</t>
  </si>
  <si>
    <t xml:space="preserve">            Common Stock</t>
  </si>
  <si>
    <t xml:space="preserve">            Capital Surplus</t>
  </si>
  <si>
    <t xml:space="preserve">            Retained Earnings</t>
  </si>
  <si>
    <t xml:space="preserve">            Less: Treas.Stock - Total $ Amt.</t>
  </si>
  <si>
    <t>Shareholders Equity - Parent</t>
  </si>
  <si>
    <t>Noncontrolling Interest - Nonredeemable</t>
  </si>
  <si>
    <t>Shareholders Equity - Total</t>
  </si>
  <si>
    <t>Total Liabilities and Shareholders Equity</t>
  </si>
  <si>
    <t>INCOME STATEMENT</t>
  </si>
  <si>
    <t>Sales (Net)</t>
  </si>
  <si>
    <t>Cost of Goods Sold</t>
  </si>
  <si>
    <t>Selling, General, and Administrative Expense</t>
  </si>
  <si>
    <t>Operating Income Before Depreciation</t>
  </si>
  <si>
    <t>Depreciation and Amortization</t>
  </si>
  <si>
    <t xml:space="preserve">            Amortization of Intangibles</t>
  </si>
  <si>
    <t xml:space="preserve">            Depreciation Expense (Schedule VI)</t>
  </si>
  <si>
    <t xml:space="preserve">            Depletion Expense (Schedule VI)</t>
  </si>
  <si>
    <t>Operating Income After Depreciation</t>
  </si>
  <si>
    <t>Interest Expense</t>
  </si>
  <si>
    <t>Nonoperating Income (Expense)</t>
  </si>
  <si>
    <t xml:space="preserve">            Nonoperating Income (Expense) - Excluding Interest Income</t>
  </si>
  <si>
    <t xml:space="preserve">            Interest Income</t>
  </si>
  <si>
    <t>Special Items</t>
  </si>
  <si>
    <t>Pretax Income</t>
  </si>
  <si>
    <t xml:space="preserve">            Pretax Income - Domestic</t>
  </si>
  <si>
    <t xml:space="preserve">            Pretax Income - Foreign</t>
  </si>
  <si>
    <t>Income Taxes - Total</t>
  </si>
  <si>
    <t xml:space="preserve">            Deferred Taxes (Income Account)</t>
  </si>
  <si>
    <t xml:space="preserve">                        Deferred Taxes - Federal</t>
  </si>
  <si>
    <t xml:space="preserve">                        Deferred Taxes - Foreign</t>
  </si>
  <si>
    <t xml:space="preserve">                        Deferred Taxes - State</t>
  </si>
  <si>
    <t xml:space="preserve">            Income Taxes - Federal</t>
  </si>
  <si>
    <t xml:space="preserve">            Income Taxes - Foreign</t>
  </si>
  <si>
    <t xml:space="preserve">            Income Taxes - State</t>
  </si>
  <si>
    <t xml:space="preserve">            Income Taxes - Other</t>
  </si>
  <si>
    <t>Minority Interest</t>
  </si>
  <si>
    <t>Income Before Extraordinary Items</t>
  </si>
  <si>
    <t>Dividends - Preferred</t>
  </si>
  <si>
    <t>Income Before Extraordinary Items - Available for Common</t>
  </si>
  <si>
    <t>Common Stock Equivalents - Dollar Savings</t>
  </si>
  <si>
    <t>Income Before Extraordinary Items - Adjusted for Common Stock Equivalents</t>
  </si>
  <si>
    <t>Extraordinary Items and Discontinued Operations</t>
  </si>
  <si>
    <t xml:space="preserve">            Extraordinary Items</t>
  </si>
  <si>
    <t xml:space="preserve">            Discounted Operations</t>
  </si>
  <si>
    <t>Net Income Adjusted for Common Stock Equivalents</t>
  </si>
  <si>
    <t>Net Income (Loss)</t>
  </si>
  <si>
    <t>STATEMENT OF CASH FLOWS</t>
  </si>
  <si>
    <t>INDIRECT OPERATING ACTIVITIES</t>
  </si>
  <si>
    <t>Deferred Taxes</t>
  </si>
  <si>
    <t>Equity in Net Loss (Earnings)</t>
  </si>
  <si>
    <t>Sale of Property, Plant, and Equipment and Sale of Investments - Loss (Gain)</t>
  </si>
  <si>
    <t>Funds from Operations - Other</t>
  </si>
  <si>
    <t>Accounts Receivable - Decrease (Increase)</t>
  </si>
  <si>
    <t>Inventory - Decrease (Increase)</t>
  </si>
  <si>
    <t>Accounts Payable and Accrued Liabilities - Increase (Decrease)</t>
  </si>
  <si>
    <t>Income Taxes - Accrued - Increase (Decrease)</t>
  </si>
  <si>
    <t>Assets and Liablities - Other (Net Change)</t>
  </si>
  <si>
    <t>Operating Activities - Net Cash Flow</t>
  </si>
  <si>
    <t>INVESTING ACTIVITIES</t>
  </si>
  <si>
    <t>Increase in Investments</t>
  </si>
  <si>
    <t>Sale of Investments</t>
  </si>
  <si>
    <t>Short-Term Investments - Change</t>
  </si>
  <si>
    <t>Capital Expenditures</t>
  </si>
  <si>
    <t>Sale of Property, Plant, and Equipment</t>
  </si>
  <si>
    <t>Acquisitions</t>
  </si>
  <si>
    <t>Investing Activities - Other</t>
  </si>
  <si>
    <t>Investing Activities - Net Cash Flow</t>
  </si>
  <si>
    <t>FINANCING ACTIVITIES</t>
  </si>
  <si>
    <t>Sale of Common and Preferred Stock</t>
  </si>
  <si>
    <t>Purchase of Common and Preferred Stock</t>
  </si>
  <si>
    <t>Cash Dividends</t>
  </si>
  <si>
    <t>Long Term Debt - Issuance</t>
  </si>
  <si>
    <t>Long Term Debt - Reduction</t>
  </si>
  <si>
    <t>Changes in Current Debt</t>
  </si>
  <si>
    <t>Financing Activities - Other</t>
  </si>
  <si>
    <t>Financing Activities - Net Cash Flow</t>
  </si>
  <si>
    <t>Exchange Rate Effect</t>
  </si>
  <si>
    <t>Cash and Cash Equivalents - Increase (Decrease)</t>
  </si>
  <si>
    <t>DIRECT OPERATING ACTIVITIES</t>
  </si>
  <si>
    <t>Interest Paid Net</t>
  </si>
  <si>
    <t>Income Taxes Paid</t>
  </si>
  <si>
    <t>ADDITIONAL SCHEDULES</t>
  </si>
  <si>
    <t>Acquisitions - Income Contribution</t>
  </si>
  <si>
    <t>Acquisitions - Sales Contribution</t>
  </si>
  <si>
    <t>Adjustmnet Factor-Cum, Ex-Date</t>
  </si>
  <si>
    <t>Advertising Expense</t>
  </si>
  <si>
    <t>Average Short Term Borrowing Rate</t>
  </si>
  <si>
    <t>Average Short term Borrowing</t>
  </si>
  <si>
    <t>Common Shareholders (# of)</t>
  </si>
  <si>
    <t>Common Shares Traded (Calendar Yr)</t>
  </si>
  <si>
    <t>Compensating Balance</t>
  </si>
  <si>
    <t>Convertible Debt and Preferred Stock</t>
  </si>
  <si>
    <t>Debt (Long Term) Maturing Due in 2 Years</t>
  </si>
  <si>
    <t>Debt (Long Term) Maturing Due in 3 Years</t>
  </si>
  <si>
    <t>Debt (Long Term) Maturing Due in 4 Years Years</t>
  </si>
  <si>
    <t>Debt (Long Term) Maturing Due in 5 Years</t>
  </si>
  <si>
    <t>Debt - Long-Term Debt - Tied to Prime</t>
  </si>
  <si>
    <t>Debt - Mortgages and Other Securities</t>
  </si>
  <si>
    <t>Debt - Unamortized Debt Discount and Other</t>
  </si>
  <si>
    <t>Dividends (Cash)per Share Ex-Date</t>
  </si>
  <si>
    <t>Dividends (Cash) - Common</t>
  </si>
  <si>
    <t>Dividends (Cash) - Preferred</t>
  </si>
  <si>
    <t>Employees (# of)</t>
  </si>
  <si>
    <t>Equity in Earnings - Unconsolidated Subs</t>
  </si>
  <si>
    <t>Foreign Currency Translation Adj - Bal. Sheet</t>
  </si>
  <si>
    <t>Foreign Currency Translation Adj - Inc. Stmnt.</t>
  </si>
  <si>
    <t>Interest Capitalized (in fiscal yr)</t>
  </si>
  <si>
    <t>Interest Capitalized - Net Income Effect</t>
  </si>
  <si>
    <t>Interest Expense on Long Term Debt</t>
  </si>
  <si>
    <t>Investment Tax Credit</t>
  </si>
  <si>
    <t>Labor Related Expenses</t>
  </si>
  <si>
    <t>LIFO Reserve</t>
  </si>
  <si>
    <t>Order Backlog</t>
  </si>
  <si>
    <t>Preferred Stock - Dividends In Arrears</t>
  </si>
  <si>
    <t>Preferred Stock - Liquidation Value</t>
  </si>
  <si>
    <t>Preferred Stock - Redemption Value</t>
  </si>
  <si>
    <t>Present Value - Noncapitalized Leases</t>
  </si>
  <si>
    <t>Price - Calendar Year Close</t>
  </si>
  <si>
    <t>Price - Calendar Year High</t>
  </si>
  <si>
    <t>Price - Calendar Year Low</t>
  </si>
  <si>
    <t>Price - Fiscal Year Close</t>
  </si>
  <si>
    <t>Receivables - Estimated Doubtful</t>
  </si>
  <si>
    <t>Rental Commitments - Minimum Year+1</t>
  </si>
  <si>
    <t>Rental Commitments - Minimum Year+2</t>
  </si>
  <si>
    <t>Rental Commitments - Minimum Year+3</t>
  </si>
  <si>
    <t>Rental Commitments - Minimum Year+4</t>
  </si>
  <si>
    <t>Rental Commitments - Minimum Year+5</t>
  </si>
  <si>
    <t>Rental Expense</t>
  </si>
  <si>
    <t>Rental Income</t>
  </si>
  <si>
    <t>Research and Development Expense</t>
  </si>
  <si>
    <t>Tax Loss Carry Forward</t>
  </si>
  <si>
    <t>Treasury Stock ($) - Common</t>
  </si>
  <si>
    <t>Treasury Stock ($) - Preferred</t>
  </si>
  <si>
    <t>Treasury Stock - # Shares</t>
  </si>
  <si>
    <t>ADDITIONAL DATA</t>
  </si>
  <si>
    <t>Receivables - Trade</t>
  </si>
  <si>
    <t>Income Tax Refund</t>
  </si>
  <si>
    <t>Receivables - Other - Current</t>
  </si>
  <si>
    <t>Receivables - Total (Net)</t>
  </si>
  <si>
    <t>Inventories - Raw Materials</t>
  </si>
  <si>
    <t>Inventories - Work In Process</t>
  </si>
  <si>
    <t>Inventories - Finished Goods</t>
  </si>
  <si>
    <t>Inventories - Other</t>
  </si>
  <si>
    <t>LESS: Debt (Long Term) Due In One Year</t>
  </si>
  <si>
    <t>Debt - Convertible Subordinated</t>
  </si>
  <si>
    <t>Debt - Senior Convertible</t>
  </si>
  <si>
    <t>Debt - Subordinated</t>
  </si>
  <si>
    <t>Debt - Notes</t>
  </si>
  <si>
    <t>Debt - Debentures</t>
  </si>
  <si>
    <t>Debt - Long Term - Other</t>
  </si>
  <si>
    <t>Debt - Capitalized Lease Obligations</t>
  </si>
  <si>
    <t>Long Term Debt Total</t>
  </si>
  <si>
    <t>PROPERTY, PLANT AND EQUIPMENT (COST)</t>
  </si>
  <si>
    <t>Beginning Balance</t>
  </si>
  <si>
    <t>Retirements</t>
  </si>
  <si>
    <t>Other Changes</t>
  </si>
  <si>
    <t>Ending Balance</t>
  </si>
  <si>
    <t>ACCUMULATED DEPRECIATION ON PPE</t>
  </si>
  <si>
    <t>Depreciation Expense</t>
  </si>
  <si>
    <t>Depletion Expense</t>
  </si>
  <si>
    <t>Deferred Taxes - Federal</t>
  </si>
  <si>
    <t>Deferred Taxes - Foreign</t>
  </si>
  <si>
    <t>Deferred Taxes - State</t>
  </si>
  <si>
    <t>Income Taxes - Federal</t>
  </si>
  <si>
    <t>Income Taxes - Foreign</t>
  </si>
  <si>
    <t>Income Taxes - State</t>
  </si>
  <si>
    <t>Income Taxes - Other</t>
  </si>
  <si>
    <t>COMMON SHARES RESERVED FOR CONVERSION</t>
  </si>
  <si>
    <t>Convertible Debt</t>
  </si>
  <si>
    <t>Preferred Stock</t>
  </si>
  <si>
    <t>Stock Options</t>
  </si>
  <si>
    <t>Warrants and Other</t>
  </si>
  <si>
    <t>Total</t>
  </si>
  <si>
    <t>INPUTS INTO FINANCIAL STATEMENT</t>
  </si>
  <si>
    <t>Cash &amp; Equivalents</t>
  </si>
  <si>
    <t>Prepaid Expenses</t>
  </si>
  <si>
    <t>Plant, Property &amp; Equip (Gross)</t>
  </si>
  <si>
    <t>Accumulated Depreciation</t>
  </si>
  <si>
    <t>Plant, Property &amp; Equip (Net)</t>
  </si>
  <si>
    <t>Investments at Equity</t>
  </si>
  <si>
    <t>Investments and Advances - Other</t>
  </si>
  <si>
    <t>Deferred Charges</t>
  </si>
  <si>
    <t>TOTAL ASSETS</t>
  </si>
  <si>
    <t>Notes Payable</t>
  </si>
  <si>
    <t>Accrued Expenses</t>
  </si>
  <si>
    <t>Taxes Payable</t>
  </si>
  <si>
    <t>Debt (Long-Term) Due In One Year</t>
  </si>
  <si>
    <t>Other Current Liabilities</t>
  </si>
  <si>
    <t>Total Current Liabilities</t>
  </si>
  <si>
    <t>Long Term Debt</t>
  </si>
  <si>
    <t>Deferred Taxes (Balance Sheet)</t>
  </si>
  <si>
    <t>TOTAL LIABILITIES</t>
  </si>
  <si>
    <t>Common Stock</t>
  </si>
  <si>
    <t>Capital Surplus</t>
  </si>
  <si>
    <t>Retained Earnings (Net Other)</t>
  </si>
  <si>
    <t>Less: Treasury Stock</t>
  </si>
  <si>
    <t>TOTAL SHAREHOLDERS EQUITY</t>
  </si>
  <si>
    <t>Gross Profit</t>
  </si>
  <si>
    <t>Selling, General, &amp; Admin Expenses</t>
  </si>
  <si>
    <t>Depreciation, Depletion, &amp; Amortization</t>
  </si>
  <si>
    <t>Non-Operating Income/Expense</t>
  </si>
  <si>
    <t>INCOME BEFORE EI&amp;DO</t>
  </si>
  <si>
    <t>Extraordinary Items</t>
  </si>
  <si>
    <t>Discontinued Operations</t>
  </si>
  <si>
    <t>Preferred Dividends</t>
  </si>
  <si>
    <t>EPS - Primary - Excluding EI&amp;DO</t>
  </si>
  <si>
    <t>EPS - Primary - Including EI&amp;DO</t>
  </si>
  <si>
    <t>EPS - Fully Diluted - Excluding EI&amp;DO</t>
  </si>
  <si>
    <t>EPS - Fully Diluted - Including EI&amp;DO</t>
  </si>
  <si>
    <t>SHARES - for Primary EPS Calculation</t>
  </si>
  <si>
    <t>SHARES - for Fully Diluted EPS Calculation</t>
  </si>
  <si>
    <t>SHARES - Outstanding at Fiscal Year End</t>
  </si>
  <si>
    <t>Sale of Property Plant and Equipment</t>
  </si>
  <si>
    <t>Investing Activites - Net Cash Flow</t>
  </si>
  <si>
    <t>CASH STATEMENT - SOURCE &amp; USE</t>
  </si>
  <si>
    <t>Interest Paid - Net</t>
  </si>
  <si>
    <t>Funds From Operations - Total</t>
  </si>
  <si>
    <t>Current Debt - Changes</t>
  </si>
  <si>
    <t>Working Capital Changes - Other - Inc(Dec)</t>
  </si>
  <si>
    <t>Note that rE = risk free rate + equity beta * expected market risk premium, NOT  risk free rate + equity beta * (expected market risk premium - risk free rate)</t>
  </si>
  <si>
    <t>rD = risk free rate + debt beta * expected market risk premium</t>
  </si>
  <si>
    <t xml:space="preserve">Stock price * Shares Outstanding </t>
  </si>
  <si>
    <t>MV Equity + Net Debt</t>
  </si>
  <si>
    <t>Refer to the instruction</t>
  </si>
  <si>
    <t>"Debt in Current Liabilities" + "Long-Term Debt - Total" - "Cash and Short-Term Investments"</t>
  </si>
  <si>
    <t>Download and Copy the latest Complete Financial Statements for your company from the WRDS into this sheet</t>
  </si>
  <si>
    <t>Download and Copy Dell's latest Complete Financial Statements from the WRDS into this sheet</t>
  </si>
  <si>
    <t>Fiscal Years: 2024 to 2024</t>
  </si>
  <si>
    <t>&lt;-- Simply apply the same assumptions for all parameters as you did in Case Part I.2 for your company. The only parameter you need to update is the cost of capital. You should use your estimated cost of capital for your company (cell C23 from the sheet "Your Company's Cost of Capital") to update your DCF analysis.</t>
  </si>
  <si>
    <t>.</t>
  </si>
  <si>
    <t>BBB</t>
  </si>
  <si>
    <t>Financial Statement for: MICROSOFT CORP</t>
  </si>
  <si>
    <t>Fiscal Years: 2018 to 2024</t>
  </si>
  <si>
    <t>AAA</t>
  </si>
  <si>
    <t>E% Weight</t>
  </si>
  <si>
    <t>D% Weight</t>
  </si>
  <si>
    <t>Total Firm Value</t>
  </si>
  <si>
    <t>D/E Ratio</t>
  </si>
  <si>
    <t>Net Debt = Book Debt- Cash</t>
  </si>
  <si>
    <t>Book Debt proxied for MV of Debt</t>
  </si>
  <si>
    <t>EV= MV Equity + Net Debt</t>
  </si>
  <si>
    <t>MV_Debt (Book)</t>
  </si>
  <si>
    <t>Net D/E Ratio</t>
  </si>
  <si>
    <t>E% &amp; D% WACC</t>
  </si>
  <si>
    <t>*Net Debt WACC</t>
  </si>
  <si>
    <t>Notes of considertion for additional self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</si>
</sst>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164" formatCode="&quot;$&quot;#,##0"/>
    <numFmt numFmtId="165" formatCode="#,##0.000"/>
    <numFmt numFmtId="166" formatCode="0.000%"/>
    <numFmt numFmtId="167" formatCode="###,###,##0.000"/>
    <numFmt numFmtId="168" formatCode="General_)"/>
    <numFmt numFmtId="169" formatCode="0.00000%"/>
  </numFmts>
  <fonts count="16" x14ac:knownFonts="1">
    <font>
      <sz val="11"/>
      <color theme="1"/>
      <name val="Calibri"/>
      <family val="2"/>
      <scheme val="minor"/>
    </font>
    <font>
      <sz val="11"/>
      <color rgb="FF0000FF"/>
      <name val="Calibri"/>
      <family val="2"/>
      <scheme val="minor"/>
    </font>
    <font>
      <b/>
      <sz val="11"/>
      <color theme="1"/>
      <name val="Calibri"/>
      <family val="2"/>
      <scheme val="minor"/>
    </font>
    <font>
      <sz val="12"/>
      <color rgb="FF000000"/>
      <name val="Calibri"/>
      <family val="2"/>
      <scheme val="minor"/>
    </font>
    <font>
      <sz val="12"/>
      <color theme="1"/>
      <name val="Calibri"/>
      <family val="2"/>
      <scheme val="minor"/>
    </font>
    <font>
      <sz val="16"/>
      <color rgb="FFFF0000"/>
      <name val="Calibri"/>
      <family val="2"/>
      <scheme val="minor"/>
    </font>
    <font>
      <b/>
      <sz val="10"/>
      <name val="Arial"/>
      <family val="2"/>
    </font>
    <font>
      <sz val="10"/>
      <name val="Arial"/>
      <family val="2"/>
    </font>
    <font>
      <sz val="11"/>
      <color theme="1"/>
      <name val="Calibri"/>
      <family val="2"/>
      <scheme val="minor"/>
    </font>
    <font>
      <sz val="11"/>
      <color rgb="FFFF0000"/>
      <name val="Calibri"/>
      <family val="2"/>
      <scheme val="minor"/>
    </font>
    <font>
      <b/>
      <sz val="11"/>
      <name val="Calibri"/>
      <family val="2"/>
      <scheme val="minor"/>
    </font>
    <font>
      <sz val="11"/>
      <name val="Calibri"/>
      <family val="2"/>
      <scheme val="minor"/>
    </font>
    <font>
      <b/>
      <sz val="11"/>
      <color rgb="FFFF0000"/>
      <name val="Calibri"/>
      <family val="2"/>
      <scheme val="minor"/>
    </font>
    <font>
      <b/>
      <u/>
      <sz val="11"/>
      <name val="Calibri"/>
      <family val="2"/>
      <scheme val="minor"/>
    </font>
    <font>
      <sz val="10"/>
      <name val="Arial"/>
      <family val="2"/>
    </font>
    <font>
      <b/>
      <sz val="10"/>
      <name val="Arial"/>
      <family val="2"/>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indexed="22"/>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8" fillId="0" borderId="0"/>
    <xf numFmtId="9" fontId="8" fillId="0" borderId="0" applyFont="0" applyFill="0" applyBorder="0" applyAlignment="0" applyProtection="0"/>
  </cellStyleXfs>
  <cellXfs count="74">
    <xf numFmtId="0" fontId="0" fillId="0" borderId="0" xfId="0"/>
    <xf numFmtId="0" fontId="0" fillId="0" borderId="0" xfId="0" applyAlignment="1">
      <alignment vertical="top"/>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10" fontId="0" fillId="0" borderId="0" xfId="0" applyNumberFormat="1" applyAlignment="1">
      <alignment vertical="top"/>
    </xf>
    <xf numFmtId="4" fontId="0" fillId="0" borderId="0" xfId="0" applyNumberFormat="1" applyAlignment="1">
      <alignment vertical="top"/>
    </xf>
    <xf numFmtId="0" fontId="0" fillId="3" borderId="0" xfId="0" applyFill="1" applyAlignment="1">
      <alignment vertical="top"/>
    </xf>
    <xf numFmtId="0" fontId="0" fillId="3" borderId="0" xfId="0" applyFill="1" applyAlignment="1">
      <alignment horizontal="right" vertical="top"/>
    </xf>
    <xf numFmtId="0" fontId="0" fillId="4" borderId="0" xfId="0" applyFill="1" applyAlignment="1">
      <alignment vertical="top"/>
    </xf>
    <xf numFmtId="0" fontId="0" fillId="4" borderId="0" xfId="0" applyFill="1" applyAlignment="1">
      <alignment horizontal="right" vertical="top"/>
    </xf>
    <xf numFmtId="18" fontId="0" fillId="4" borderId="0" xfId="0" quotePrefix="1" applyNumberFormat="1" applyFill="1" applyAlignment="1">
      <alignment horizontal="right" vertical="top"/>
    </xf>
    <xf numFmtId="10" fontId="1" fillId="0" borderId="0" xfId="0" applyNumberFormat="1" applyFont="1" applyAlignment="1">
      <alignment vertical="top"/>
    </xf>
    <xf numFmtId="0" fontId="1" fillId="0" borderId="0" xfId="0" applyFont="1" applyAlignment="1">
      <alignment horizontal="right" vertical="top"/>
    </xf>
    <xf numFmtId="0" fontId="4" fillId="0" borderId="0" xfId="0" applyFont="1" applyAlignment="1">
      <alignment vertical="top"/>
    </xf>
    <xf numFmtId="164" fontId="1" fillId="0" borderId="0" xfId="0" applyNumberFormat="1" applyFont="1" applyAlignment="1">
      <alignment vertical="top"/>
    </xf>
    <xf numFmtId="165" fontId="1" fillId="0" borderId="0" xfId="0" applyNumberFormat="1" applyFont="1" applyAlignment="1">
      <alignment vertical="top"/>
    </xf>
    <xf numFmtId="164" fontId="0" fillId="0" borderId="0" xfId="0" applyNumberFormat="1" applyAlignment="1">
      <alignment vertical="top"/>
    </xf>
    <xf numFmtId="166" fontId="0" fillId="2" borderId="0" xfId="0" applyNumberFormat="1" applyFill="1" applyAlignment="1">
      <alignment vertical="top"/>
    </xf>
    <xf numFmtId="0" fontId="0" fillId="4" borderId="0" xfId="0" quotePrefix="1" applyFill="1" applyAlignment="1">
      <alignment horizontal="right" vertical="top"/>
    </xf>
    <xf numFmtId="9" fontId="1" fillId="0" borderId="0" xfId="0" applyNumberFormat="1" applyFont="1"/>
    <xf numFmtId="0" fontId="6" fillId="0" borderId="0" xfId="0" applyFont="1"/>
    <xf numFmtId="0" fontId="6" fillId="5" borderId="0" xfId="0" applyFont="1" applyFill="1"/>
    <xf numFmtId="0" fontId="7" fillId="0" borderId="0" xfId="0" applyFont="1"/>
    <xf numFmtId="167" fontId="7" fillId="0" borderId="0" xfId="0" applyNumberFormat="1" applyFont="1"/>
    <xf numFmtId="2" fontId="1" fillId="0" borderId="0" xfId="0" applyNumberFormat="1" applyFont="1" applyAlignment="1">
      <alignment vertical="top"/>
    </xf>
    <xf numFmtId="164" fontId="0" fillId="0" borderId="0" xfId="0" applyNumberFormat="1"/>
    <xf numFmtId="0" fontId="10" fillId="0" borderId="0" xfId="0" applyFont="1"/>
    <xf numFmtId="0" fontId="11" fillId="0" borderId="0" xfId="0" applyFont="1"/>
    <xf numFmtId="37" fontId="2" fillId="0" borderId="1" xfId="0" applyNumberFormat="1" applyFont="1" applyBorder="1"/>
    <xf numFmtId="37" fontId="11" fillId="0" borderId="1" xfId="0" applyNumberFormat="1" applyFont="1" applyBorder="1"/>
    <xf numFmtId="37" fontId="11" fillId="0" borderId="2" xfId="0" applyNumberFormat="1" applyFont="1" applyBorder="1"/>
    <xf numFmtId="3" fontId="1" fillId="0" borderId="0" xfId="0" applyNumberFormat="1" applyFont="1"/>
    <xf numFmtId="37" fontId="11" fillId="0" borderId="0" xfId="0" applyNumberFormat="1" applyFont="1"/>
    <xf numFmtId="0" fontId="1" fillId="0" borderId="0" xfId="0" applyFont="1"/>
    <xf numFmtId="9" fontId="11" fillId="0" borderId="0" xfId="0" applyNumberFormat="1" applyFont="1"/>
    <xf numFmtId="10" fontId="11" fillId="0" borderId="0" xfId="0" applyNumberFormat="1" applyFont="1"/>
    <xf numFmtId="10" fontId="1" fillId="0" borderId="0" xfId="0" applyNumberFormat="1" applyFont="1"/>
    <xf numFmtId="0" fontId="12" fillId="0" borderId="0" xfId="0" applyFont="1" applyAlignment="1">
      <alignment vertical="top"/>
    </xf>
    <xf numFmtId="168" fontId="11" fillId="0" borderId="0" xfId="1" applyNumberFormat="1" applyFont="1" applyAlignment="1">
      <alignment horizontal="left" vertical="top"/>
    </xf>
    <xf numFmtId="168" fontId="11" fillId="0" borderId="0" xfId="1" applyNumberFormat="1" applyFont="1" applyAlignment="1">
      <alignment horizontal="left" vertical="center"/>
    </xf>
    <xf numFmtId="0" fontId="10" fillId="0" borderId="0" xfId="0" applyFont="1" applyAlignment="1">
      <alignment horizontal="right"/>
    </xf>
    <xf numFmtId="0" fontId="10" fillId="0" borderId="1" xfId="0" applyFont="1" applyBorder="1"/>
    <xf numFmtId="37" fontId="10" fillId="0" borderId="1" xfId="0" applyNumberFormat="1" applyFont="1" applyBorder="1" applyAlignment="1">
      <alignment horizontal="right"/>
    </xf>
    <xf numFmtId="3" fontId="11" fillId="0" borderId="2" xfId="0" applyNumberFormat="1" applyFont="1" applyBorder="1" applyAlignment="1">
      <alignment horizontal="right" vertical="top"/>
    </xf>
    <xf numFmtId="3" fontId="11" fillId="0" borderId="0" xfId="0" applyNumberFormat="1" applyFont="1" applyAlignment="1">
      <alignment horizontal="right" vertical="top"/>
    </xf>
    <xf numFmtId="37" fontId="13" fillId="0" borderId="0" xfId="0" applyNumberFormat="1" applyFont="1" applyAlignment="1">
      <alignment horizontal="left"/>
    </xf>
    <xf numFmtId="0" fontId="13" fillId="0" borderId="0" xfId="0" applyFont="1"/>
    <xf numFmtId="41" fontId="11" fillId="0" borderId="0" xfId="0" applyNumberFormat="1" applyFont="1" applyAlignment="1">
      <alignment horizontal="right" vertical="top"/>
    </xf>
    <xf numFmtId="165" fontId="11" fillId="0" borderId="0" xfId="0" applyNumberFormat="1" applyFont="1" applyAlignment="1">
      <alignment horizontal="right" vertical="top"/>
    </xf>
    <xf numFmtId="3" fontId="10" fillId="2" borderId="3" xfId="0" applyNumberFormat="1" applyFont="1" applyFill="1" applyBorder="1" applyAlignment="1">
      <alignment horizontal="right" vertical="top"/>
    </xf>
    <xf numFmtId="3" fontId="11" fillId="0" borderId="0" xfId="0" applyNumberFormat="1" applyFont="1"/>
    <xf numFmtId="39" fontId="11" fillId="0" borderId="0" xfId="0" applyNumberFormat="1" applyFont="1"/>
    <xf numFmtId="10" fontId="10" fillId="0" borderId="0" xfId="0" applyNumberFormat="1" applyFont="1"/>
    <xf numFmtId="0" fontId="9" fillId="0" borderId="0" xfId="0" applyFont="1"/>
    <xf numFmtId="0" fontId="7" fillId="2" borderId="0" xfId="0" applyFont="1" applyFill="1"/>
    <xf numFmtId="0" fontId="9" fillId="0" borderId="0" xfId="0" applyFont="1" applyAlignment="1">
      <alignment vertical="top"/>
    </xf>
    <xf numFmtId="168" fontId="9" fillId="0" borderId="0" xfId="1" applyNumberFormat="1" applyFont="1" applyAlignment="1">
      <alignment horizontal="left" vertical="top"/>
    </xf>
    <xf numFmtId="167" fontId="14" fillId="0" borderId="0" xfId="0" applyNumberFormat="1" applyFont="1"/>
    <xf numFmtId="0" fontId="14" fillId="0" borderId="0" xfId="0" applyFont="1"/>
    <xf numFmtId="10" fontId="0" fillId="0" borderId="0" xfId="0" applyNumberFormat="1"/>
    <xf numFmtId="0" fontId="15" fillId="0" borderId="0" xfId="0" applyFont="1"/>
    <xf numFmtId="0" fontId="15" fillId="5" borderId="0" xfId="0" applyFont="1" applyFill="1"/>
    <xf numFmtId="0" fontId="14" fillId="2" borderId="0" xfId="0" applyFont="1" applyFill="1"/>
    <xf numFmtId="0" fontId="0" fillId="2" borderId="0" xfId="0" applyFill="1"/>
    <xf numFmtId="167" fontId="14" fillId="2" borderId="0" xfId="0" applyNumberFormat="1" applyFont="1" applyFill="1"/>
    <xf numFmtId="10" fontId="1" fillId="0" borderId="0" xfId="2" applyNumberFormat="1" applyFont="1" applyFill="1" applyBorder="1" applyProtection="1"/>
    <xf numFmtId="4" fontId="1" fillId="0" borderId="0" xfId="0" applyNumberFormat="1" applyFont="1"/>
    <xf numFmtId="4" fontId="11" fillId="0" borderId="2" xfId="0" applyNumberFormat="1" applyFont="1" applyBorder="1" applyAlignment="1">
      <alignment horizontal="right" vertical="top"/>
    </xf>
    <xf numFmtId="4" fontId="11" fillId="0" borderId="0" xfId="0" applyNumberFormat="1" applyFont="1" applyAlignment="1">
      <alignment horizontal="right" vertical="top"/>
    </xf>
    <xf numFmtId="169" fontId="0" fillId="2" borderId="0" xfId="0" applyNumberFormat="1" applyFill="1" applyAlignment="1">
      <alignment vertical="top"/>
    </xf>
    <xf numFmtId="0" fontId="8" fillId="0" borderId="0" xfId="0" applyFont="1" applyAlignment="1">
      <alignment horizontal="left" vertical="top" wrapText="1"/>
    </xf>
    <xf numFmtId="0" fontId="5" fillId="0" borderId="0" xfId="0" applyFont="1" applyAlignment="1">
      <alignment horizontal="left" vertical="top" wrapText="1"/>
    </xf>
    <xf numFmtId="0" fontId="0" fillId="3" borderId="0" xfId="0" applyFill="1" applyAlignment="1">
      <alignment horizontal="center"/>
    </xf>
  </cellXfs>
  <cellStyles count="3">
    <cellStyle name="Normal" xfId="0" builtinId="0"/>
    <cellStyle name="Normal 2" xfId="1" xr:uid="{1B34BE14-513F-4AA1-9E6C-73598CB05425}"/>
    <cellStyle name="Percent" xfId="2"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54951</xdr:colOff>
      <xdr:row>5</xdr:row>
      <xdr:rowOff>36635</xdr:rowOff>
    </xdr:from>
    <xdr:to>
      <xdr:col>8</xdr:col>
      <xdr:colOff>47866</xdr:colOff>
      <xdr:row>12</xdr:row>
      <xdr:rowOff>161900</xdr:rowOff>
    </xdr:to>
    <xdr:pic>
      <xdr:nvPicPr>
        <xdr:cNvPr id="2" name="Picture 1" descr="Graphical user interface, text, application, chat or text message&#10;&#10;Description automatically generated">
          <a:extLst>
            <a:ext uri="{FF2B5EF4-FFF2-40B4-BE49-F238E27FC236}">
              <a16:creationId xmlns:a16="http://schemas.microsoft.com/office/drawing/2014/main" id="{2C2AD7AB-3133-4121-81D6-96E4CAA83E87}"/>
            </a:ext>
          </a:extLst>
        </xdr:cNvPr>
        <xdr:cNvPicPr>
          <a:picLocks noChangeAspect="1"/>
        </xdr:cNvPicPr>
      </xdr:nvPicPr>
      <xdr:blipFill>
        <a:blip xmlns:r="http://schemas.openxmlformats.org/officeDocument/2006/relationships" r:embed="rId1"/>
        <a:stretch>
          <a:fillRect/>
        </a:stretch>
      </xdr:blipFill>
      <xdr:spPr>
        <a:xfrm>
          <a:off x="6411057" y="934183"/>
          <a:ext cx="1938213" cy="13818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155121</xdr:colOff>
      <xdr:row>21</xdr:row>
      <xdr:rowOff>174172</xdr:rowOff>
    </xdr:from>
    <xdr:to>
      <xdr:col>6</xdr:col>
      <xdr:colOff>499064</xdr:colOff>
      <xdr:row>24</xdr:row>
      <xdr:rowOff>20230</xdr:rowOff>
    </xdr:to>
    <xdr:pic>
      <xdr:nvPicPr>
        <xdr:cNvPr id="2" name="Picture 1">
          <a:extLst>
            <a:ext uri="{FF2B5EF4-FFF2-40B4-BE49-F238E27FC236}">
              <a16:creationId xmlns:a16="http://schemas.microsoft.com/office/drawing/2014/main" id="{441CA54D-A4BD-4DB5-91FD-452D6B4E12E4}"/>
            </a:ext>
          </a:extLst>
        </xdr:cNvPr>
        <xdr:cNvPicPr>
          <a:picLocks noChangeAspect="1"/>
        </xdr:cNvPicPr>
      </xdr:nvPicPr>
      <xdr:blipFill>
        <a:blip xmlns:r="http://schemas.openxmlformats.org/officeDocument/2006/relationships" r:embed="rId1"/>
        <a:stretch>
          <a:fillRect/>
        </a:stretch>
      </xdr:blipFill>
      <xdr:spPr>
        <a:xfrm>
          <a:off x="4299857" y="4384222"/>
          <a:ext cx="2580957" cy="4311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24848</xdr:colOff>
      <xdr:row>5</xdr:row>
      <xdr:rowOff>107674</xdr:rowOff>
    </xdr:from>
    <xdr:to>
      <xdr:col>8</xdr:col>
      <xdr:colOff>9179</xdr:colOff>
      <xdr:row>13</xdr:row>
      <xdr:rowOff>57412</xdr:rowOff>
    </xdr:to>
    <xdr:pic>
      <xdr:nvPicPr>
        <xdr:cNvPr id="2" name="Picture 1" descr="Graphical user interface, text, application, chat or text message&#10;&#10;Description automatically generated">
          <a:extLst>
            <a:ext uri="{FF2B5EF4-FFF2-40B4-BE49-F238E27FC236}">
              <a16:creationId xmlns:a16="http://schemas.microsoft.com/office/drawing/2014/main" id="{C42BEB0A-2D79-437B-AF22-113746670973}"/>
            </a:ext>
          </a:extLst>
        </xdr:cNvPr>
        <xdr:cNvPicPr>
          <a:picLocks noChangeAspect="1"/>
        </xdr:cNvPicPr>
      </xdr:nvPicPr>
      <xdr:blipFill>
        <a:blip xmlns:r="http://schemas.openxmlformats.org/officeDocument/2006/relationships" r:embed="rId1"/>
        <a:stretch>
          <a:fillRect/>
        </a:stretch>
      </xdr:blipFill>
      <xdr:spPr>
        <a:xfrm>
          <a:off x="3255065" y="1018761"/>
          <a:ext cx="1922463" cy="14074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66675</xdr:colOff>
      <xdr:row>35</xdr:row>
      <xdr:rowOff>42863</xdr:rowOff>
    </xdr:from>
    <xdr:to>
      <xdr:col>13</xdr:col>
      <xdr:colOff>152400</xdr:colOff>
      <xdr:row>39</xdr:row>
      <xdr:rowOff>23812</xdr:rowOff>
    </xdr:to>
    <xdr:pic>
      <xdr:nvPicPr>
        <xdr:cNvPr id="2" name="Picture 1">
          <a:extLst>
            <a:ext uri="{FF2B5EF4-FFF2-40B4-BE49-F238E27FC236}">
              <a16:creationId xmlns:a16="http://schemas.microsoft.com/office/drawing/2014/main" id="{D0768B1F-AB2D-4622-811A-B10A243C4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05700" y="6376988"/>
          <a:ext cx="3971925" cy="700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ea2797ffbf6ddd3/OneDrive%20-%20West%20Texas%20A%20and%20M%20University/Financial%20Management/Benitez_Case%20Part%201_Excel.xlsx" TargetMode="External"/><Relationship Id="rId1" Type="http://schemas.openxmlformats.org/officeDocument/2006/relationships/externalLinkPath" Target="Benitez_Case%20Part%201_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ll's Financial Statements"/>
      <sheetName val="Template - Dell"/>
      <sheetName val="Sensitivity Analysis"/>
      <sheetName val="SMA"/>
      <sheetName val="Your Company's FS"/>
      <sheetName val="DCF Analysis for Your Project"/>
      <sheetName val="Alternative Profitability"/>
    </sheetNames>
    <sheetDataSet>
      <sheetData sheetId="0"/>
      <sheetData sheetId="1"/>
      <sheetData sheetId="2"/>
      <sheetData sheetId="3"/>
      <sheetData sheetId="4">
        <row r="11">
          <cell r="L11">
            <v>245122</v>
          </cell>
        </row>
        <row r="21">
          <cell r="L21">
            <v>0.52803501929651353</v>
          </cell>
        </row>
        <row r="35">
          <cell r="L35">
            <v>46674</v>
          </cell>
        </row>
      </sheetData>
      <sheetData sheetId="5"/>
      <sheetData sheetId="6"/>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CDB35-CCAD-4493-8DD8-1D05875FF0C4}">
  <dimension ref="A1:M337"/>
  <sheetViews>
    <sheetView tabSelected="1" zoomScale="130" zoomScaleNormal="130" workbookViewId="0"/>
  </sheetViews>
  <sheetFormatPr defaultRowHeight="15" x14ac:dyDescent="0.25"/>
  <cols>
    <col min="1" max="1" width="46.7109375" customWidth="1"/>
    <col min="2" max="2" width="16.5703125" customWidth="1"/>
  </cols>
  <sheetData>
    <row r="1" spans="1:13" x14ac:dyDescent="0.25">
      <c r="A1" s="21" t="s">
        <v>30</v>
      </c>
    </row>
    <row r="2" spans="1:13" x14ac:dyDescent="0.25">
      <c r="A2" s="21" t="s">
        <v>349</v>
      </c>
    </row>
    <row r="3" spans="1:13" x14ac:dyDescent="0.25">
      <c r="A3" s="21" t="s">
        <v>32</v>
      </c>
      <c r="B3" s="21">
        <v>2024</v>
      </c>
      <c r="F3" s="72" t="s">
        <v>348</v>
      </c>
      <c r="G3" s="72"/>
      <c r="H3" s="72"/>
      <c r="I3" s="72"/>
      <c r="J3" s="72"/>
      <c r="K3" s="72"/>
      <c r="L3" s="72"/>
      <c r="M3" s="72"/>
    </row>
    <row r="4" spans="1:13" ht="14.25" customHeight="1" x14ac:dyDescent="0.25">
      <c r="A4" s="21"/>
      <c r="F4" s="72"/>
      <c r="G4" s="72"/>
      <c r="H4" s="72"/>
      <c r="I4" s="72"/>
      <c r="J4" s="72"/>
      <c r="K4" s="72"/>
      <c r="L4" s="72"/>
      <c r="M4" s="72"/>
    </row>
    <row r="5" spans="1:13" ht="14.25" customHeight="1" x14ac:dyDescent="0.25">
      <c r="A5" s="22" t="s">
        <v>31</v>
      </c>
      <c r="F5" s="72"/>
      <c r="G5" s="72"/>
      <c r="H5" s="72"/>
      <c r="I5" s="72"/>
      <c r="J5" s="72"/>
      <c r="K5" s="72"/>
      <c r="L5" s="72"/>
      <c r="M5" s="72"/>
    </row>
    <row r="6" spans="1:13" x14ac:dyDescent="0.25">
      <c r="A6" s="21" t="s">
        <v>68</v>
      </c>
    </row>
    <row r="7" spans="1:13" x14ac:dyDescent="0.25">
      <c r="A7" s="55" t="s">
        <v>18</v>
      </c>
      <c r="B7" s="24">
        <v>3756</v>
      </c>
    </row>
    <row r="8" spans="1:13" x14ac:dyDescent="0.25">
      <c r="A8" s="23" t="s">
        <v>69</v>
      </c>
      <c r="B8" s="24">
        <v>3633</v>
      </c>
    </row>
    <row r="9" spans="1:13" x14ac:dyDescent="0.25">
      <c r="A9" s="23" t="s">
        <v>70</v>
      </c>
      <c r="B9" s="24">
        <v>123</v>
      </c>
    </row>
    <row r="10" spans="1:13" x14ac:dyDescent="0.25">
      <c r="A10" s="23" t="s">
        <v>71</v>
      </c>
      <c r="B10" s="24">
        <v>15602</v>
      </c>
    </row>
    <row r="11" spans="1:13" x14ac:dyDescent="0.25">
      <c r="A11" s="23" t="s">
        <v>72</v>
      </c>
      <c r="B11" s="24">
        <v>15602</v>
      </c>
    </row>
    <row r="12" spans="1:13" x14ac:dyDescent="0.25">
      <c r="A12" s="23" t="s">
        <v>73</v>
      </c>
      <c r="B12" s="24">
        <v>0</v>
      </c>
    </row>
    <row r="13" spans="1:13" x14ac:dyDescent="0.25">
      <c r="A13" s="23" t="s">
        <v>74</v>
      </c>
      <c r="B13" s="24">
        <v>0</v>
      </c>
    </row>
    <row r="14" spans="1:13" x14ac:dyDescent="0.25">
      <c r="A14" s="23" t="s">
        <v>75</v>
      </c>
      <c r="B14" s="24">
        <v>6716</v>
      </c>
    </row>
    <row r="15" spans="1:13" x14ac:dyDescent="0.25">
      <c r="A15" s="23" t="s">
        <v>76</v>
      </c>
      <c r="B15" s="24">
        <v>4432</v>
      </c>
    </row>
    <row r="16" spans="1:13" x14ac:dyDescent="0.25">
      <c r="A16" s="23" t="s">
        <v>77</v>
      </c>
      <c r="B16" s="24">
        <v>1128</v>
      </c>
    </row>
    <row r="17" spans="1:2" x14ac:dyDescent="0.25">
      <c r="A17" s="23" t="s">
        <v>78</v>
      </c>
      <c r="B17" s="24">
        <v>1156</v>
      </c>
    </row>
    <row r="18" spans="1:2" x14ac:dyDescent="0.25">
      <c r="A18" s="23" t="s">
        <v>79</v>
      </c>
      <c r="B18" s="24">
        <v>0</v>
      </c>
    </row>
    <row r="19" spans="1:2" x14ac:dyDescent="0.25">
      <c r="A19" s="23" t="s">
        <v>80</v>
      </c>
      <c r="B19" s="24">
        <v>10155</v>
      </c>
    </row>
    <row r="20" spans="1:2" x14ac:dyDescent="0.25">
      <c r="A20" s="23" t="s">
        <v>81</v>
      </c>
      <c r="B20" s="24">
        <v>564</v>
      </c>
    </row>
    <row r="21" spans="1:2" x14ac:dyDescent="0.25">
      <c r="A21" s="23" t="s">
        <v>82</v>
      </c>
      <c r="B21" s="24">
        <v>9591</v>
      </c>
    </row>
    <row r="22" spans="1:2" x14ac:dyDescent="0.25">
      <c r="A22" s="23" t="s">
        <v>83</v>
      </c>
      <c r="B22" s="24">
        <v>36229</v>
      </c>
    </row>
    <row r="23" spans="1:2" x14ac:dyDescent="0.25">
      <c r="A23" s="23" t="s">
        <v>84</v>
      </c>
      <c r="B23" s="24">
        <v>6996</v>
      </c>
    </row>
    <row r="24" spans="1:2" x14ac:dyDescent="0.25">
      <c r="A24" s="23" t="s">
        <v>85</v>
      </c>
      <c r="B24" s="24">
        <v>14756</v>
      </c>
    </row>
    <row r="25" spans="1:2" x14ac:dyDescent="0.25">
      <c r="A25" s="23" t="s">
        <v>86</v>
      </c>
      <c r="B25" s="24">
        <v>7760</v>
      </c>
    </row>
    <row r="26" spans="1:2" x14ac:dyDescent="0.25">
      <c r="A26" s="23" t="s">
        <v>87</v>
      </c>
      <c r="B26" s="24">
        <v>0</v>
      </c>
    </row>
    <row r="27" spans="1:2" x14ac:dyDescent="0.25">
      <c r="A27" s="23" t="s">
        <v>88</v>
      </c>
      <c r="B27" s="24">
        <v>7423</v>
      </c>
    </row>
    <row r="28" spans="1:2" x14ac:dyDescent="0.25">
      <c r="A28" s="23" t="s">
        <v>89</v>
      </c>
      <c r="B28" s="24">
        <v>24731</v>
      </c>
    </row>
    <row r="29" spans="1:2" x14ac:dyDescent="0.25">
      <c r="A29" s="23" t="s">
        <v>90</v>
      </c>
      <c r="B29" s="24">
        <v>4367</v>
      </c>
    </row>
    <row r="30" spans="1:2" x14ac:dyDescent="0.25">
      <c r="A30" s="23" t="s">
        <v>91</v>
      </c>
      <c r="B30" s="23" t="s">
        <v>351</v>
      </c>
    </row>
    <row r="31" spans="1:2" x14ac:dyDescent="0.25">
      <c r="A31" s="23" t="s">
        <v>92</v>
      </c>
      <c r="B31" s="24">
        <v>4367</v>
      </c>
    </row>
    <row r="32" spans="1:2" x14ac:dyDescent="0.25">
      <c r="A32" s="23" t="s">
        <v>93</v>
      </c>
      <c r="B32" s="24">
        <v>79746</v>
      </c>
    </row>
    <row r="33" spans="1:2" x14ac:dyDescent="0.25">
      <c r="A33" s="21" t="s">
        <v>94</v>
      </c>
    </row>
    <row r="34" spans="1:2" x14ac:dyDescent="0.25">
      <c r="A34" s="55" t="s">
        <v>19</v>
      </c>
      <c r="B34" s="24">
        <v>5440</v>
      </c>
    </row>
    <row r="35" spans="1:2" x14ac:dyDescent="0.25">
      <c r="A35" s="23" t="s">
        <v>95</v>
      </c>
      <c r="B35" s="24">
        <v>0</v>
      </c>
    </row>
    <row r="36" spans="1:2" x14ac:dyDescent="0.25">
      <c r="A36" s="23" t="s">
        <v>96</v>
      </c>
      <c r="B36" s="24">
        <v>5440</v>
      </c>
    </row>
    <row r="37" spans="1:2" x14ac:dyDescent="0.25">
      <c r="A37" s="23" t="s">
        <v>97</v>
      </c>
      <c r="B37" s="24">
        <v>20832</v>
      </c>
    </row>
    <row r="38" spans="1:2" x14ac:dyDescent="0.25">
      <c r="A38" s="23" t="s">
        <v>98</v>
      </c>
      <c r="B38" s="23" t="s">
        <v>351</v>
      </c>
    </row>
    <row r="39" spans="1:2" x14ac:dyDescent="0.25">
      <c r="A39" s="23" t="s">
        <v>99</v>
      </c>
      <c r="B39" s="24">
        <v>20255</v>
      </c>
    </row>
    <row r="40" spans="1:2" x14ac:dyDescent="0.25">
      <c r="A40" s="23" t="s">
        <v>100</v>
      </c>
      <c r="B40" s="23" t="s">
        <v>351</v>
      </c>
    </row>
    <row r="41" spans="1:2" x14ac:dyDescent="0.25">
      <c r="A41" s="23" t="s">
        <v>101</v>
      </c>
      <c r="B41" s="24">
        <v>20255</v>
      </c>
    </row>
    <row r="42" spans="1:2" x14ac:dyDescent="0.25">
      <c r="A42" s="23" t="s">
        <v>102</v>
      </c>
      <c r="B42" s="24">
        <v>46527</v>
      </c>
    </row>
    <row r="43" spans="1:2" x14ac:dyDescent="0.25">
      <c r="A43" s="55" t="s">
        <v>20</v>
      </c>
      <c r="B43" s="24">
        <v>19885</v>
      </c>
    </row>
    <row r="44" spans="1:2" x14ac:dyDescent="0.25">
      <c r="A44" s="23" t="s">
        <v>103</v>
      </c>
      <c r="B44" s="24">
        <v>0</v>
      </c>
    </row>
    <row r="45" spans="1:2" x14ac:dyDescent="0.25">
      <c r="A45" s="23" t="s">
        <v>104</v>
      </c>
      <c r="B45" s="24">
        <v>0</v>
      </c>
    </row>
    <row r="46" spans="1:2" x14ac:dyDescent="0.25">
      <c r="A46" s="23" t="s">
        <v>105</v>
      </c>
      <c r="B46" s="24">
        <v>0</v>
      </c>
    </row>
    <row r="47" spans="1:2" x14ac:dyDescent="0.25">
      <c r="A47" s="23" t="s">
        <v>106</v>
      </c>
      <c r="B47" s="24">
        <v>0</v>
      </c>
    </row>
    <row r="48" spans="1:2" x14ac:dyDescent="0.25">
      <c r="A48" s="23" t="s">
        <v>107</v>
      </c>
      <c r="B48" s="24">
        <v>16025</v>
      </c>
    </row>
    <row r="49" spans="1:2" x14ac:dyDescent="0.25">
      <c r="A49" s="23" t="s">
        <v>108</v>
      </c>
      <c r="B49" s="23" t="s">
        <v>351</v>
      </c>
    </row>
    <row r="50" spans="1:2" x14ac:dyDescent="0.25">
      <c r="A50" s="23" t="s">
        <v>109</v>
      </c>
      <c r="B50" s="24">
        <v>9521</v>
      </c>
    </row>
    <row r="51" spans="1:2" x14ac:dyDescent="0.25">
      <c r="A51" s="23" t="s">
        <v>110</v>
      </c>
      <c r="B51" s="24">
        <v>0</v>
      </c>
    </row>
    <row r="52" spans="1:2" x14ac:dyDescent="0.25">
      <c r="A52" s="23" t="s">
        <v>111</v>
      </c>
      <c r="B52" s="24">
        <v>14721</v>
      </c>
    </row>
    <row r="53" spans="1:2" x14ac:dyDescent="0.25">
      <c r="A53" s="23" t="s">
        <v>112</v>
      </c>
      <c r="B53" s="23" t="s">
        <v>351</v>
      </c>
    </row>
    <row r="54" spans="1:2" x14ac:dyDescent="0.25">
      <c r="A54" s="23" t="s">
        <v>113</v>
      </c>
      <c r="B54" s="23" t="s">
        <v>351</v>
      </c>
    </row>
    <row r="55" spans="1:2" x14ac:dyDescent="0.25">
      <c r="A55" s="23" t="s">
        <v>114</v>
      </c>
      <c r="B55" s="24">
        <v>0</v>
      </c>
    </row>
    <row r="56" spans="1:2" x14ac:dyDescent="0.25">
      <c r="A56" s="23" t="s">
        <v>115</v>
      </c>
      <c r="B56" s="24">
        <v>0</v>
      </c>
    </row>
    <row r="57" spans="1:2" x14ac:dyDescent="0.25">
      <c r="A57" s="23" t="s">
        <v>116</v>
      </c>
      <c r="B57" s="23" t="s">
        <v>351</v>
      </c>
    </row>
    <row r="58" spans="1:2" x14ac:dyDescent="0.25">
      <c r="A58" s="21" t="s">
        <v>117</v>
      </c>
    </row>
    <row r="59" spans="1:2" x14ac:dyDescent="0.25">
      <c r="A59" s="23" t="s">
        <v>118</v>
      </c>
      <c r="B59" s="24">
        <v>0</v>
      </c>
    </row>
    <row r="60" spans="1:2" x14ac:dyDescent="0.25">
      <c r="A60" s="23" t="s">
        <v>119</v>
      </c>
      <c r="B60" s="24">
        <v>0</v>
      </c>
    </row>
    <row r="61" spans="1:2" x14ac:dyDescent="0.25">
      <c r="A61" s="23" t="s">
        <v>120</v>
      </c>
      <c r="B61" s="24">
        <v>0</v>
      </c>
    </row>
    <row r="62" spans="1:2" x14ac:dyDescent="0.25">
      <c r="A62" s="23" t="s">
        <v>121</v>
      </c>
      <c r="B62" s="24">
        <v>-1482</v>
      </c>
    </row>
    <row r="63" spans="1:2" x14ac:dyDescent="0.25">
      <c r="A63" s="23" t="s">
        <v>122</v>
      </c>
      <c r="B63" s="24">
        <v>8</v>
      </c>
    </row>
    <row r="64" spans="1:2" x14ac:dyDescent="0.25">
      <c r="A64" s="23" t="s">
        <v>123</v>
      </c>
      <c r="B64" s="24">
        <v>9111</v>
      </c>
    </row>
    <row r="65" spans="1:2" x14ac:dyDescent="0.25">
      <c r="A65" s="23" t="s">
        <v>124</v>
      </c>
      <c r="B65" s="24">
        <v>-2099</v>
      </c>
    </row>
    <row r="66" spans="1:2" x14ac:dyDescent="0.25">
      <c r="A66" s="23" t="s">
        <v>125</v>
      </c>
      <c r="B66" s="24">
        <v>8502</v>
      </c>
    </row>
    <row r="67" spans="1:2" x14ac:dyDescent="0.25">
      <c r="A67" s="23" t="s">
        <v>126</v>
      </c>
      <c r="B67" s="24">
        <v>-1482</v>
      </c>
    </row>
    <row r="68" spans="1:2" x14ac:dyDescent="0.25">
      <c r="A68" s="23" t="s">
        <v>127</v>
      </c>
      <c r="B68" s="24">
        <v>95</v>
      </c>
    </row>
    <row r="69" spans="1:2" x14ac:dyDescent="0.25">
      <c r="A69" s="23" t="s">
        <v>128</v>
      </c>
      <c r="B69" s="24">
        <v>-1387</v>
      </c>
    </row>
    <row r="70" spans="1:2" x14ac:dyDescent="0.25">
      <c r="A70" s="23" t="s">
        <v>129</v>
      </c>
      <c r="B70" s="24">
        <v>79746</v>
      </c>
    </row>
    <row r="71" spans="1:2" x14ac:dyDescent="0.25">
      <c r="A71" s="21"/>
    </row>
    <row r="72" spans="1:2" x14ac:dyDescent="0.25">
      <c r="A72" s="22" t="s">
        <v>130</v>
      </c>
    </row>
    <row r="73" spans="1:2" x14ac:dyDescent="0.25">
      <c r="A73" s="23" t="s">
        <v>131</v>
      </c>
      <c r="B73" s="24">
        <v>95567</v>
      </c>
    </row>
    <row r="74" spans="1:2" x14ac:dyDescent="0.25">
      <c r="A74" s="23" t="s">
        <v>132</v>
      </c>
      <c r="B74" s="24">
        <v>71468</v>
      </c>
    </row>
    <row r="75" spans="1:2" x14ac:dyDescent="0.25">
      <c r="A75" s="23" t="s">
        <v>133</v>
      </c>
      <c r="B75" s="24">
        <v>14046</v>
      </c>
    </row>
    <row r="76" spans="1:2" x14ac:dyDescent="0.25">
      <c r="A76" s="23" t="s">
        <v>134</v>
      </c>
      <c r="B76" s="24">
        <v>10053</v>
      </c>
    </row>
    <row r="77" spans="1:2" x14ac:dyDescent="0.25">
      <c r="A77" s="23" t="s">
        <v>135</v>
      </c>
      <c r="B77" s="24">
        <v>3123</v>
      </c>
    </row>
    <row r="78" spans="1:2" x14ac:dyDescent="0.25">
      <c r="A78" s="23" t="s">
        <v>136</v>
      </c>
      <c r="B78" s="24">
        <v>992</v>
      </c>
    </row>
    <row r="79" spans="1:2" x14ac:dyDescent="0.25">
      <c r="A79" s="23" t="s">
        <v>137</v>
      </c>
      <c r="B79" s="23" t="s">
        <v>351</v>
      </c>
    </row>
    <row r="80" spans="1:2" x14ac:dyDescent="0.25">
      <c r="A80" s="23" t="s">
        <v>138</v>
      </c>
      <c r="B80" s="23" t="s">
        <v>351</v>
      </c>
    </row>
    <row r="81" spans="1:2" x14ac:dyDescent="0.25">
      <c r="A81" s="23" t="s">
        <v>139</v>
      </c>
      <c r="B81" s="24">
        <v>6930</v>
      </c>
    </row>
    <row r="82" spans="1:2" x14ac:dyDescent="0.25">
      <c r="A82" s="23" t="s">
        <v>140</v>
      </c>
      <c r="B82" s="24">
        <v>1394</v>
      </c>
    </row>
    <row r="83" spans="1:2" x14ac:dyDescent="0.25">
      <c r="A83" s="23" t="s">
        <v>141</v>
      </c>
      <c r="B83" s="24">
        <v>205</v>
      </c>
    </row>
    <row r="84" spans="1:2" x14ac:dyDescent="0.25">
      <c r="A84" s="23" t="s">
        <v>142</v>
      </c>
      <c r="B84" s="24">
        <v>205</v>
      </c>
    </row>
    <row r="85" spans="1:2" x14ac:dyDescent="0.25">
      <c r="A85" s="23" t="s">
        <v>143</v>
      </c>
      <c r="B85" s="23" t="s">
        <v>351</v>
      </c>
    </row>
    <row r="86" spans="1:2" x14ac:dyDescent="0.25">
      <c r="A86" s="23" t="s">
        <v>144</v>
      </c>
      <c r="B86" s="24">
        <v>-693</v>
      </c>
    </row>
    <row r="87" spans="1:2" x14ac:dyDescent="0.25">
      <c r="A87" s="23" t="s">
        <v>145</v>
      </c>
      <c r="B87" s="24">
        <v>5048</v>
      </c>
    </row>
    <row r="88" spans="1:2" x14ac:dyDescent="0.25">
      <c r="A88" s="23" t="s">
        <v>146</v>
      </c>
      <c r="B88" s="24">
        <v>-73</v>
      </c>
    </row>
    <row r="89" spans="1:2" x14ac:dyDescent="0.25">
      <c r="A89" s="23" t="s">
        <v>147</v>
      </c>
      <c r="B89" s="24">
        <v>5121</v>
      </c>
    </row>
    <row r="90" spans="1:2" x14ac:dyDescent="0.25">
      <c r="A90" s="23" t="s">
        <v>148</v>
      </c>
      <c r="B90" s="24">
        <v>472</v>
      </c>
    </row>
    <row r="91" spans="1:2" x14ac:dyDescent="0.25">
      <c r="A91" s="23" t="s">
        <v>149</v>
      </c>
      <c r="B91" s="24">
        <v>-208</v>
      </c>
    </row>
    <row r="92" spans="1:2" x14ac:dyDescent="0.25">
      <c r="A92" s="23" t="s">
        <v>150</v>
      </c>
      <c r="B92" s="24">
        <v>-220</v>
      </c>
    </row>
    <row r="93" spans="1:2" x14ac:dyDescent="0.25">
      <c r="A93" s="23" t="s">
        <v>151</v>
      </c>
      <c r="B93" s="24">
        <v>24</v>
      </c>
    </row>
    <row r="94" spans="1:2" x14ac:dyDescent="0.25">
      <c r="A94" s="23" t="s">
        <v>152</v>
      </c>
      <c r="B94" s="24">
        <v>-12</v>
      </c>
    </row>
    <row r="95" spans="1:2" x14ac:dyDescent="0.25">
      <c r="A95" s="23" t="s">
        <v>153</v>
      </c>
      <c r="B95" s="24">
        <v>-84</v>
      </c>
    </row>
    <row r="96" spans="1:2" x14ac:dyDescent="0.25">
      <c r="A96" s="23" t="s">
        <v>154</v>
      </c>
      <c r="B96" s="24">
        <v>785</v>
      </c>
    </row>
    <row r="97" spans="1:2" x14ac:dyDescent="0.25">
      <c r="A97" s="23" t="s">
        <v>155</v>
      </c>
      <c r="B97" s="24">
        <v>-21</v>
      </c>
    </row>
    <row r="98" spans="1:2" x14ac:dyDescent="0.25">
      <c r="A98" s="23" t="s">
        <v>156</v>
      </c>
      <c r="B98" s="24">
        <v>0</v>
      </c>
    </row>
    <row r="99" spans="1:2" x14ac:dyDescent="0.25">
      <c r="A99" s="23" t="s">
        <v>157</v>
      </c>
      <c r="B99" s="24">
        <v>-16</v>
      </c>
    </row>
    <row r="100" spans="1:2" x14ac:dyDescent="0.25">
      <c r="A100" s="23" t="s">
        <v>158</v>
      </c>
      <c r="B100" s="24">
        <v>4592</v>
      </c>
    </row>
    <row r="101" spans="1:2" x14ac:dyDescent="0.25">
      <c r="A101" s="23" t="s">
        <v>159</v>
      </c>
      <c r="B101" s="24">
        <v>0</v>
      </c>
    </row>
    <row r="102" spans="1:2" x14ac:dyDescent="0.25">
      <c r="A102" s="23" t="s">
        <v>160</v>
      </c>
      <c r="B102" s="24">
        <v>4592</v>
      </c>
    </row>
    <row r="103" spans="1:2" x14ac:dyDescent="0.25">
      <c r="A103" s="23" t="s">
        <v>161</v>
      </c>
      <c r="B103" s="24">
        <v>0</v>
      </c>
    </row>
    <row r="104" spans="1:2" x14ac:dyDescent="0.25">
      <c r="A104" s="23" t="s">
        <v>162</v>
      </c>
      <c r="B104" s="24">
        <v>4592</v>
      </c>
    </row>
    <row r="105" spans="1:2" x14ac:dyDescent="0.25">
      <c r="A105" s="23" t="s">
        <v>163</v>
      </c>
      <c r="B105" s="24">
        <v>0</v>
      </c>
    </row>
    <row r="106" spans="1:2" x14ac:dyDescent="0.25">
      <c r="A106" s="23" t="s">
        <v>164</v>
      </c>
      <c r="B106" s="24">
        <v>0</v>
      </c>
    </row>
    <row r="107" spans="1:2" x14ac:dyDescent="0.25">
      <c r="A107" s="23" t="s">
        <v>165</v>
      </c>
      <c r="B107" s="24">
        <v>0</v>
      </c>
    </row>
    <row r="108" spans="1:2" x14ac:dyDescent="0.25">
      <c r="A108" s="23" t="s">
        <v>166</v>
      </c>
      <c r="B108" s="24">
        <v>4592</v>
      </c>
    </row>
    <row r="109" spans="1:2" x14ac:dyDescent="0.25">
      <c r="A109" s="23" t="s">
        <v>167</v>
      </c>
      <c r="B109" s="24">
        <v>4592</v>
      </c>
    </row>
    <row r="110" spans="1:2" x14ac:dyDescent="0.25">
      <c r="A110" s="21"/>
    </row>
    <row r="111" spans="1:2" x14ac:dyDescent="0.25">
      <c r="A111" s="22" t="s">
        <v>168</v>
      </c>
    </row>
    <row r="112" spans="1:2" x14ac:dyDescent="0.25">
      <c r="A112" s="21" t="s">
        <v>169</v>
      </c>
    </row>
    <row r="113" spans="1:2" x14ac:dyDescent="0.25">
      <c r="A113" s="23" t="s">
        <v>158</v>
      </c>
      <c r="B113" s="24">
        <v>4576</v>
      </c>
    </row>
    <row r="114" spans="1:2" x14ac:dyDescent="0.25">
      <c r="A114" s="23" t="s">
        <v>135</v>
      </c>
      <c r="B114" s="24">
        <v>3123</v>
      </c>
    </row>
    <row r="115" spans="1:2" x14ac:dyDescent="0.25">
      <c r="A115" s="23" t="s">
        <v>163</v>
      </c>
      <c r="B115" s="24">
        <v>0</v>
      </c>
    </row>
    <row r="116" spans="1:2" x14ac:dyDescent="0.25">
      <c r="A116" s="23" t="s">
        <v>170</v>
      </c>
      <c r="B116" s="24">
        <v>-208</v>
      </c>
    </row>
    <row r="117" spans="1:2" x14ac:dyDescent="0.25">
      <c r="A117" s="23" t="s">
        <v>171</v>
      </c>
      <c r="B117" s="24">
        <v>0</v>
      </c>
    </row>
    <row r="118" spans="1:2" x14ac:dyDescent="0.25">
      <c r="A118" s="23" t="s">
        <v>172</v>
      </c>
      <c r="B118" s="24">
        <v>0</v>
      </c>
    </row>
    <row r="119" spans="1:2" x14ac:dyDescent="0.25">
      <c r="A119" s="23" t="s">
        <v>173</v>
      </c>
      <c r="B119" s="24">
        <v>1238</v>
      </c>
    </row>
    <row r="120" spans="1:2" x14ac:dyDescent="0.25">
      <c r="A120" s="23" t="s">
        <v>174</v>
      </c>
      <c r="B120" s="24">
        <v>-2246</v>
      </c>
    </row>
    <row r="121" spans="1:2" x14ac:dyDescent="0.25">
      <c r="A121" s="23" t="s">
        <v>175</v>
      </c>
      <c r="B121" s="24">
        <v>-3515</v>
      </c>
    </row>
    <row r="122" spans="1:2" x14ac:dyDescent="0.25">
      <c r="A122" s="23" t="s">
        <v>176</v>
      </c>
      <c r="B122" s="24">
        <v>1703</v>
      </c>
    </row>
    <row r="123" spans="1:2" x14ac:dyDescent="0.25">
      <c r="A123" s="23" t="s">
        <v>177</v>
      </c>
      <c r="B123" s="23" t="s">
        <v>351</v>
      </c>
    </row>
    <row r="124" spans="1:2" x14ac:dyDescent="0.25">
      <c r="A124" s="23" t="s">
        <v>178</v>
      </c>
      <c r="B124" s="24">
        <v>-150</v>
      </c>
    </row>
    <row r="125" spans="1:2" x14ac:dyDescent="0.25">
      <c r="A125" s="23" t="s">
        <v>179</v>
      </c>
      <c r="B125" s="24">
        <v>4521</v>
      </c>
    </row>
    <row r="126" spans="1:2" x14ac:dyDescent="0.25">
      <c r="A126" s="21" t="s">
        <v>180</v>
      </c>
    </row>
    <row r="127" spans="1:2" x14ac:dyDescent="0.25">
      <c r="A127" s="23" t="s">
        <v>181</v>
      </c>
      <c r="B127" s="24">
        <v>125</v>
      </c>
    </row>
    <row r="128" spans="1:2" x14ac:dyDescent="0.25">
      <c r="A128" s="23" t="s">
        <v>182</v>
      </c>
      <c r="B128" s="24">
        <v>382</v>
      </c>
    </row>
    <row r="129" spans="1:2" x14ac:dyDescent="0.25">
      <c r="A129" s="23" t="s">
        <v>183</v>
      </c>
      <c r="B129" s="23" t="s">
        <v>351</v>
      </c>
    </row>
    <row r="130" spans="1:2" x14ac:dyDescent="0.25">
      <c r="A130" s="23" t="s">
        <v>184</v>
      </c>
      <c r="B130" s="24">
        <v>2652</v>
      </c>
    </row>
    <row r="131" spans="1:2" x14ac:dyDescent="0.25">
      <c r="A131" s="23" t="s">
        <v>185</v>
      </c>
      <c r="B131" s="24">
        <v>0</v>
      </c>
    </row>
    <row r="132" spans="1:2" x14ac:dyDescent="0.25">
      <c r="A132" s="23" t="s">
        <v>186</v>
      </c>
      <c r="B132" s="24">
        <v>0</v>
      </c>
    </row>
    <row r="133" spans="1:2" x14ac:dyDescent="0.25">
      <c r="A133" s="23" t="s">
        <v>187</v>
      </c>
      <c r="B133" s="24">
        <v>180</v>
      </c>
    </row>
    <row r="134" spans="1:2" x14ac:dyDescent="0.25">
      <c r="A134" s="23" t="s">
        <v>188</v>
      </c>
      <c r="B134" s="24">
        <v>-2215</v>
      </c>
    </row>
    <row r="135" spans="1:2" x14ac:dyDescent="0.25">
      <c r="A135" s="21" t="s">
        <v>189</v>
      </c>
    </row>
    <row r="136" spans="1:2" x14ac:dyDescent="0.25">
      <c r="A136" s="23" t="s">
        <v>190</v>
      </c>
      <c r="B136" s="24">
        <v>1</v>
      </c>
    </row>
    <row r="137" spans="1:2" x14ac:dyDescent="0.25">
      <c r="A137" s="23" t="s">
        <v>191</v>
      </c>
      <c r="B137" s="24">
        <v>3165</v>
      </c>
    </row>
    <row r="138" spans="1:2" x14ac:dyDescent="0.25">
      <c r="A138" s="23" t="s">
        <v>192</v>
      </c>
      <c r="B138" s="24">
        <v>1275</v>
      </c>
    </row>
    <row r="139" spans="1:2" x14ac:dyDescent="0.25">
      <c r="A139" s="23" t="s">
        <v>193</v>
      </c>
      <c r="B139" s="24">
        <v>9258</v>
      </c>
    </row>
    <row r="140" spans="1:2" x14ac:dyDescent="0.25">
      <c r="A140" s="23" t="s">
        <v>194</v>
      </c>
      <c r="B140" s="24">
        <v>10570</v>
      </c>
    </row>
    <row r="141" spans="1:2" x14ac:dyDescent="0.25">
      <c r="A141" s="23" t="s">
        <v>195</v>
      </c>
      <c r="B141" s="23" t="s">
        <v>351</v>
      </c>
    </row>
    <row r="142" spans="1:2" x14ac:dyDescent="0.25">
      <c r="A142" s="23" t="s">
        <v>196</v>
      </c>
      <c r="B142" s="24">
        <v>-64</v>
      </c>
    </row>
    <row r="143" spans="1:2" x14ac:dyDescent="0.25">
      <c r="A143" s="23" t="s">
        <v>197</v>
      </c>
      <c r="B143" s="24">
        <v>-5815</v>
      </c>
    </row>
    <row r="144" spans="1:2" x14ac:dyDescent="0.25">
      <c r="A144" s="23" t="s">
        <v>198</v>
      </c>
      <c r="B144" s="24">
        <v>-179</v>
      </c>
    </row>
    <row r="145" spans="1:2" x14ac:dyDescent="0.25">
      <c r="A145" s="23" t="s">
        <v>199</v>
      </c>
      <c r="B145" s="24">
        <v>-3688</v>
      </c>
    </row>
    <row r="146" spans="1:2" x14ac:dyDescent="0.25">
      <c r="A146" s="21" t="s">
        <v>200</v>
      </c>
    </row>
    <row r="147" spans="1:2" x14ac:dyDescent="0.25">
      <c r="A147" s="23" t="s">
        <v>201</v>
      </c>
      <c r="B147" s="24">
        <v>1304</v>
      </c>
    </row>
    <row r="148" spans="1:2" x14ac:dyDescent="0.25">
      <c r="A148" s="23" t="s">
        <v>202</v>
      </c>
      <c r="B148" s="24">
        <v>555</v>
      </c>
    </row>
    <row r="149" spans="1:2" x14ac:dyDescent="0.25">
      <c r="A149" s="21"/>
    </row>
    <row r="150" spans="1:2" x14ac:dyDescent="0.25">
      <c r="A150" s="22" t="s">
        <v>203</v>
      </c>
    </row>
    <row r="151" spans="1:2" x14ac:dyDescent="0.25">
      <c r="A151" s="23" t="s">
        <v>204</v>
      </c>
      <c r="B151" s="23" t="s">
        <v>351</v>
      </c>
    </row>
    <row r="152" spans="1:2" x14ac:dyDescent="0.25">
      <c r="A152" s="23" t="s">
        <v>205</v>
      </c>
      <c r="B152" s="23" t="s">
        <v>351</v>
      </c>
    </row>
    <row r="153" spans="1:2" x14ac:dyDescent="0.25">
      <c r="A153" s="23" t="s">
        <v>206</v>
      </c>
      <c r="B153" s="24">
        <v>1</v>
      </c>
    </row>
    <row r="154" spans="1:2" x14ac:dyDescent="0.25">
      <c r="A154" s="23" t="s">
        <v>207</v>
      </c>
      <c r="B154" s="24">
        <v>800</v>
      </c>
    </row>
    <row r="155" spans="1:2" x14ac:dyDescent="0.25">
      <c r="A155" s="23" t="s">
        <v>208</v>
      </c>
      <c r="B155" s="23" t="s">
        <v>351</v>
      </c>
    </row>
    <row r="156" spans="1:2" x14ac:dyDescent="0.25">
      <c r="A156" s="23" t="s">
        <v>209</v>
      </c>
      <c r="B156" s="23" t="s">
        <v>351</v>
      </c>
    </row>
    <row r="157" spans="1:2" x14ac:dyDescent="0.25">
      <c r="A157" s="23" t="s">
        <v>210</v>
      </c>
      <c r="B157" s="24">
        <v>3.7250000000000001</v>
      </c>
    </row>
    <row r="158" spans="1:2" x14ac:dyDescent="0.25">
      <c r="A158" s="23" t="s">
        <v>211</v>
      </c>
      <c r="B158" s="24">
        <v>2480395312</v>
      </c>
    </row>
    <row r="159" spans="1:2" x14ac:dyDescent="0.25">
      <c r="A159" s="23" t="s">
        <v>212</v>
      </c>
      <c r="B159" s="23" t="s">
        <v>351</v>
      </c>
    </row>
    <row r="160" spans="1:2" x14ac:dyDescent="0.25">
      <c r="A160" s="23" t="s">
        <v>213</v>
      </c>
      <c r="B160" s="24">
        <v>0</v>
      </c>
    </row>
    <row r="161" spans="1:2" x14ac:dyDescent="0.25">
      <c r="A161" s="23" t="s">
        <v>214</v>
      </c>
      <c r="B161" s="24">
        <v>6384</v>
      </c>
    </row>
    <row r="162" spans="1:2" x14ac:dyDescent="0.25">
      <c r="A162" s="23" t="s">
        <v>215</v>
      </c>
      <c r="B162" s="24">
        <v>1315</v>
      </c>
    </row>
    <row r="163" spans="1:2" x14ac:dyDescent="0.25">
      <c r="A163" s="23" t="s">
        <v>216</v>
      </c>
      <c r="B163" s="24">
        <v>1372</v>
      </c>
    </row>
    <row r="164" spans="1:2" x14ac:dyDescent="0.25">
      <c r="A164" s="23" t="s">
        <v>217</v>
      </c>
      <c r="B164" s="24">
        <v>2984</v>
      </c>
    </row>
    <row r="165" spans="1:2" x14ac:dyDescent="0.25">
      <c r="A165" s="23" t="s">
        <v>218</v>
      </c>
      <c r="B165" s="23" t="s">
        <v>351</v>
      </c>
    </row>
    <row r="166" spans="1:2" x14ac:dyDescent="0.25">
      <c r="A166" s="23" t="s">
        <v>219</v>
      </c>
      <c r="B166" s="24">
        <v>0</v>
      </c>
    </row>
    <row r="167" spans="1:2" x14ac:dyDescent="0.25">
      <c r="A167" s="23" t="s">
        <v>220</v>
      </c>
      <c r="B167" s="24">
        <v>-221</v>
      </c>
    </row>
    <row r="168" spans="1:2" x14ac:dyDescent="0.25">
      <c r="A168" s="23" t="s">
        <v>221</v>
      </c>
      <c r="B168" s="24">
        <v>1.78</v>
      </c>
    </row>
    <row r="169" spans="1:2" x14ac:dyDescent="0.25">
      <c r="A169" s="23" t="s">
        <v>222</v>
      </c>
      <c r="B169" s="24">
        <v>1299</v>
      </c>
    </row>
    <row r="170" spans="1:2" x14ac:dyDescent="0.25">
      <c r="A170" s="23" t="s">
        <v>223</v>
      </c>
      <c r="B170" s="24">
        <v>0</v>
      </c>
    </row>
    <row r="171" spans="1:2" x14ac:dyDescent="0.25">
      <c r="A171" s="23" t="s">
        <v>224</v>
      </c>
      <c r="B171" s="24">
        <v>108</v>
      </c>
    </row>
    <row r="172" spans="1:2" x14ac:dyDescent="0.25">
      <c r="A172" s="23" t="s">
        <v>225</v>
      </c>
      <c r="B172" s="24">
        <v>79746</v>
      </c>
    </row>
    <row r="173" spans="1:2" x14ac:dyDescent="0.25">
      <c r="A173" s="23" t="s">
        <v>226</v>
      </c>
      <c r="B173" s="24">
        <v>-1023</v>
      </c>
    </row>
    <row r="174" spans="1:2" x14ac:dyDescent="0.25">
      <c r="A174" s="23" t="s">
        <v>227</v>
      </c>
      <c r="B174" s="24">
        <v>-112</v>
      </c>
    </row>
    <row r="175" spans="1:2" x14ac:dyDescent="0.25">
      <c r="A175" s="23" t="s">
        <v>228</v>
      </c>
      <c r="B175" s="24">
        <v>0</v>
      </c>
    </row>
    <row r="176" spans="1:2" x14ac:dyDescent="0.25">
      <c r="A176" s="23" t="s">
        <v>229</v>
      </c>
      <c r="B176" s="23" t="s">
        <v>351</v>
      </c>
    </row>
    <row r="177" spans="1:2" x14ac:dyDescent="0.25">
      <c r="A177" s="23" t="s">
        <v>230</v>
      </c>
      <c r="B177" s="23" t="s">
        <v>351</v>
      </c>
    </row>
    <row r="178" spans="1:2" x14ac:dyDescent="0.25">
      <c r="A178" s="23" t="s">
        <v>231</v>
      </c>
      <c r="B178" s="24">
        <v>0</v>
      </c>
    </row>
    <row r="179" spans="1:2" x14ac:dyDescent="0.25">
      <c r="A179" s="23" t="s">
        <v>232</v>
      </c>
      <c r="B179" s="23" t="s">
        <v>351</v>
      </c>
    </row>
    <row r="180" spans="1:2" x14ac:dyDescent="0.25">
      <c r="A180" s="23" t="s">
        <v>233</v>
      </c>
      <c r="B180" s="24">
        <v>0</v>
      </c>
    </row>
    <row r="181" spans="1:2" x14ac:dyDescent="0.25">
      <c r="A181" s="23" t="s">
        <v>234</v>
      </c>
      <c r="B181" s="23" t="s">
        <v>351</v>
      </c>
    </row>
    <row r="182" spans="1:2" x14ac:dyDescent="0.25">
      <c r="A182" s="23" t="s">
        <v>235</v>
      </c>
      <c r="B182" s="24">
        <v>0</v>
      </c>
    </row>
    <row r="183" spans="1:2" x14ac:dyDescent="0.25">
      <c r="A183" s="23" t="s">
        <v>236</v>
      </c>
      <c r="B183" s="24">
        <v>0</v>
      </c>
    </row>
    <row r="184" spans="1:2" x14ac:dyDescent="0.25">
      <c r="A184" s="23" t="s">
        <v>237</v>
      </c>
      <c r="B184" s="24">
        <v>0</v>
      </c>
    </row>
    <row r="185" spans="1:2" x14ac:dyDescent="0.25">
      <c r="A185" s="23" t="s">
        <v>238</v>
      </c>
      <c r="B185" s="23" t="s">
        <v>351</v>
      </c>
    </row>
    <row r="186" spans="1:2" x14ac:dyDescent="0.25">
      <c r="A186" s="23" t="s">
        <v>239</v>
      </c>
      <c r="B186" s="24">
        <v>115.24</v>
      </c>
    </row>
    <row r="187" spans="1:2" x14ac:dyDescent="0.25">
      <c r="A187" s="23" t="s">
        <v>240</v>
      </c>
      <c r="B187" s="24">
        <v>179.7</v>
      </c>
    </row>
    <row r="188" spans="1:2" x14ac:dyDescent="0.25">
      <c r="A188" s="23" t="s">
        <v>241</v>
      </c>
      <c r="B188" s="24">
        <v>74.319999999999993</v>
      </c>
    </row>
    <row r="189" spans="1:2" x14ac:dyDescent="0.25">
      <c r="A189" s="23" t="s">
        <v>242</v>
      </c>
      <c r="B189" s="24">
        <v>103.6</v>
      </c>
    </row>
    <row r="190" spans="1:2" x14ac:dyDescent="0.25">
      <c r="A190" s="23" t="s">
        <v>243</v>
      </c>
      <c r="B190" s="24">
        <v>141</v>
      </c>
    </row>
    <row r="191" spans="1:2" x14ac:dyDescent="0.25">
      <c r="A191" s="23" t="s">
        <v>244</v>
      </c>
      <c r="B191" s="24">
        <v>233</v>
      </c>
    </row>
    <row r="192" spans="1:2" x14ac:dyDescent="0.25">
      <c r="A192" s="23" t="s">
        <v>245</v>
      </c>
      <c r="B192" s="24">
        <v>200</v>
      </c>
    </row>
    <row r="193" spans="1:2" x14ac:dyDescent="0.25">
      <c r="A193" s="23" t="s">
        <v>246</v>
      </c>
      <c r="B193" s="24">
        <v>157</v>
      </c>
    </row>
    <row r="194" spans="1:2" x14ac:dyDescent="0.25">
      <c r="A194" s="23" t="s">
        <v>247</v>
      </c>
      <c r="B194" s="24">
        <v>105</v>
      </c>
    </row>
    <row r="195" spans="1:2" x14ac:dyDescent="0.25">
      <c r="A195" s="23" t="s">
        <v>248</v>
      </c>
      <c r="B195" s="24">
        <v>77</v>
      </c>
    </row>
    <row r="196" spans="1:2" x14ac:dyDescent="0.25">
      <c r="A196" s="23" t="s">
        <v>249</v>
      </c>
      <c r="B196" s="24">
        <v>355</v>
      </c>
    </row>
    <row r="197" spans="1:2" x14ac:dyDescent="0.25">
      <c r="A197" s="23" t="s">
        <v>250</v>
      </c>
      <c r="B197" s="23" t="s">
        <v>351</v>
      </c>
    </row>
    <row r="198" spans="1:2" x14ac:dyDescent="0.25">
      <c r="A198" s="23" t="s">
        <v>251</v>
      </c>
      <c r="B198" s="24">
        <v>3061</v>
      </c>
    </row>
    <row r="199" spans="1:2" x14ac:dyDescent="0.25">
      <c r="A199" s="23" t="s">
        <v>252</v>
      </c>
      <c r="B199" s="23" t="s">
        <v>351</v>
      </c>
    </row>
    <row r="200" spans="1:2" x14ac:dyDescent="0.25">
      <c r="A200" s="23" t="s">
        <v>253</v>
      </c>
      <c r="B200" s="24">
        <v>8502</v>
      </c>
    </row>
    <row r="201" spans="1:2" x14ac:dyDescent="0.25">
      <c r="A201" s="23" t="s">
        <v>254</v>
      </c>
      <c r="B201" s="24">
        <v>0</v>
      </c>
    </row>
    <row r="202" spans="1:2" x14ac:dyDescent="0.25">
      <c r="A202" s="23" t="s">
        <v>255</v>
      </c>
      <c r="B202" s="24">
        <v>138</v>
      </c>
    </row>
    <row r="203" spans="1:2" x14ac:dyDescent="0.25">
      <c r="A203" s="21"/>
    </row>
    <row r="204" spans="1:2" x14ac:dyDescent="0.25">
      <c r="A204" s="22" t="s">
        <v>256</v>
      </c>
    </row>
    <row r="205" spans="1:2" x14ac:dyDescent="0.25">
      <c r="A205" s="23" t="s">
        <v>257</v>
      </c>
      <c r="B205" s="24">
        <v>15602</v>
      </c>
    </row>
    <row r="206" spans="1:2" x14ac:dyDescent="0.25">
      <c r="A206" s="23" t="s">
        <v>258</v>
      </c>
      <c r="B206" s="24">
        <v>0</v>
      </c>
    </row>
    <row r="207" spans="1:2" x14ac:dyDescent="0.25">
      <c r="A207" s="23" t="s">
        <v>259</v>
      </c>
      <c r="B207" s="24">
        <v>0</v>
      </c>
    </row>
    <row r="208" spans="1:2" x14ac:dyDescent="0.25">
      <c r="A208" s="23" t="s">
        <v>260</v>
      </c>
      <c r="B208" s="24">
        <v>15602</v>
      </c>
    </row>
    <row r="209" spans="1:2" x14ac:dyDescent="0.25">
      <c r="A209" s="23" t="s">
        <v>261</v>
      </c>
      <c r="B209" s="24">
        <v>4432</v>
      </c>
    </row>
    <row r="210" spans="1:2" x14ac:dyDescent="0.25">
      <c r="A210" s="23" t="s">
        <v>262</v>
      </c>
      <c r="B210" s="24">
        <v>1128</v>
      </c>
    </row>
    <row r="211" spans="1:2" x14ac:dyDescent="0.25">
      <c r="A211" s="23" t="s">
        <v>263</v>
      </c>
      <c r="B211" s="24">
        <v>1156</v>
      </c>
    </row>
    <row r="212" spans="1:2" x14ac:dyDescent="0.25">
      <c r="A212" s="23" t="s">
        <v>264</v>
      </c>
      <c r="B212" s="24">
        <v>0</v>
      </c>
    </row>
    <row r="213" spans="1:2" x14ac:dyDescent="0.25">
      <c r="A213" s="23" t="s">
        <v>75</v>
      </c>
      <c r="B213" s="24">
        <v>6716</v>
      </c>
    </row>
    <row r="214" spans="1:2" x14ac:dyDescent="0.25">
      <c r="A214" s="23" t="s">
        <v>265</v>
      </c>
      <c r="B214" s="24">
        <v>0</v>
      </c>
    </row>
    <row r="215" spans="1:2" x14ac:dyDescent="0.25">
      <c r="A215" s="23" t="s">
        <v>266</v>
      </c>
      <c r="B215" s="24">
        <v>0</v>
      </c>
    </row>
    <row r="216" spans="1:2" x14ac:dyDescent="0.25">
      <c r="A216" s="23" t="s">
        <v>267</v>
      </c>
      <c r="B216" s="24">
        <v>0</v>
      </c>
    </row>
    <row r="217" spans="1:2" x14ac:dyDescent="0.25">
      <c r="A217" s="23" t="s">
        <v>268</v>
      </c>
      <c r="B217" s="24">
        <v>0</v>
      </c>
    </row>
    <row r="218" spans="1:2" x14ac:dyDescent="0.25">
      <c r="A218" s="23" t="s">
        <v>269</v>
      </c>
      <c r="B218" s="24">
        <v>16025</v>
      </c>
    </row>
    <row r="219" spans="1:2" x14ac:dyDescent="0.25">
      <c r="A219" s="23" t="s">
        <v>270</v>
      </c>
      <c r="B219" s="23" t="s">
        <v>351</v>
      </c>
    </row>
    <row r="220" spans="1:2" x14ac:dyDescent="0.25">
      <c r="A220" s="23" t="s">
        <v>271</v>
      </c>
      <c r="B220" s="24">
        <v>9521</v>
      </c>
    </row>
    <row r="221" spans="1:2" x14ac:dyDescent="0.25">
      <c r="A221" s="23" t="s">
        <v>272</v>
      </c>
      <c r="B221" s="24">
        <v>0</v>
      </c>
    </row>
    <row r="222" spans="1:2" x14ac:dyDescent="0.25">
      <c r="A222" s="23" t="s">
        <v>273</v>
      </c>
      <c r="B222" s="24">
        <v>19885</v>
      </c>
    </row>
    <row r="223" spans="1:2" x14ac:dyDescent="0.25">
      <c r="A223" s="21" t="s">
        <v>274</v>
      </c>
    </row>
    <row r="224" spans="1:2" x14ac:dyDescent="0.25">
      <c r="A224" s="23" t="s">
        <v>275</v>
      </c>
      <c r="B224" s="23" t="s">
        <v>351</v>
      </c>
    </row>
    <row r="225" spans="1:2" x14ac:dyDescent="0.25">
      <c r="A225" s="23" t="s">
        <v>184</v>
      </c>
      <c r="B225" s="24">
        <v>2652</v>
      </c>
    </row>
    <row r="226" spans="1:2" x14ac:dyDescent="0.25">
      <c r="A226" s="23" t="s">
        <v>276</v>
      </c>
      <c r="B226" s="23" t="s">
        <v>351</v>
      </c>
    </row>
    <row r="227" spans="1:2" x14ac:dyDescent="0.25">
      <c r="A227" s="23" t="s">
        <v>277</v>
      </c>
      <c r="B227" s="23" t="s">
        <v>351</v>
      </c>
    </row>
    <row r="228" spans="1:2" x14ac:dyDescent="0.25">
      <c r="A228" s="23" t="s">
        <v>278</v>
      </c>
      <c r="B228" s="24">
        <v>14756</v>
      </c>
    </row>
    <row r="229" spans="1:2" x14ac:dyDescent="0.25">
      <c r="A229" s="21" t="s">
        <v>279</v>
      </c>
    </row>
    <row r="230" spans="1:2" x14ac:dyDescent="0.25">
      <c r="A230" s="23" t="s">
        <v>275</v>
      </c>
      <c r="B230" s="23" t="s">
        <v>351</v>
      </c>
    </row>
    <row r="231" spans="1:2" x14ac:dyDescent="0.25">
      <c r="A231" s="23" t="s">
        <v>280</v>
      </c>
      <c r="B231" s="23" t="s">
        <v>351</v>
      </c>
    </row>
    <row r="232" spans="1:2" x14ac:dyDescent="0.25">
      <c r="A232" s="23" t="s">
        <v>281</v>
      </c>
      <c r="B232" s="23" t="s">
        <v>351</v>
      </c>
    </row>
    <row r="233" spans="1:2" x14ac:dyDescent="0.25">
      <c r="A233" s="23" t="s">
        <v>276</v>
      </c>
      <c r="B233" s="23" t="s">
        <v>351</v>
      </c>
    </row>
    <row r="234" spans="1:2" x14ac:dyDescent="0.25">
      <c r="A234" s="23" t="s">
        <v>277</v>
      </c>
      <c r="B234" s="23" t="s">
        <v>351</v>
      </c>
    </row>
    <row r="235" spans="1:2" x14ac:dyDescent="0.25">
      <c r="A235" s="23" t="s">
        <v>278</v>
      </c>
      <c r="B235" s="24">
        <v>7760</v>
      </c>
    </row>
    <row r="236" spans="1:2" x14ac:dyDescent="0.25">
      <c r="A236" s="23" t="s">
        <v>282</v>
      </c>
      <c r="B236" s="24">
        <v>-220</v>
      </c>
    </row>
    <row r="237" spans="1:2" x14ac:dyDescent="0.25">
      <c r="A237" s="23" t="s">
        <v>283</v>
      </c>
      <c r="B237" s="24">
        <v>24</v>
      </c>
    </row>
    <row r="238" spans="1:2" x14ac:dyDescent="0.25">
      <c r="A238" s="23" t="s">
        <v>284</v>
      </c>
      <c r="B238" s="24">
        <v>-12</v>
      </c>
    </row>
    <row r="239" spans="1:2" x14ac:dyDescent="0.25">
      <c r="A239" s="23" t="s">
        <v>285</v>
      </c>
      <c r="B239" s="24">
        <v>-84</v>
      </c>
    </row>
    <row r="240" spans="1:2" x14ac:dyDescent="0.25">
      <c r="A240" s="23" t="s">
        <v>286</v>
      </c>
      <c r="B240" s="24">
        <v>785</v>
      </c>
    </row>
    <row r="241" spans="1:2" x14ac:dyDescent="0.25">
      <c r="A241" s="23" t="s">
        <v>287</v>
      </c>
      <c r="B241" s="24">
        <v>-21</v>
      </c>
    </row>
    <row r="242" spans="1:2" x14ac:dyDescent="0.25">
      <c r="A242" s="23" t="s">
        <v>288</v>
      </c>
      <c r="B242" s="24">
        <v>0</v>
      </c>
    </row>
    <row r="243" spans="1:2" x14ac:dyDescent="0.25">
      <c r="A243" s="23" t="s">
        <v>148</v>
      </c>
      <c r="B243" s="24">
        <v>472</v>
      </c>
    </row>
    <row r="244" spans="1:2" x14ac:dyDescent="0.25">
      <c r="A244" s="21" t="s">
        <v>289</v>
      </c>
    </row>
    <row r="245" spans="1:2" x14ac:dyDescent="0.25">
      <c r="A245" s="23" t="s">
        <v>290</v>
      </c>
      <c r="B245" s="23" t="s">
        <v>351</v>
      </c>
    </row>
    <row r="246" spans="1:2" x14ac:dyDescent="0.25">
      <c r="A246" s="23" t="s">
        <v>291</v>
      </c>
      <c r="B246" s="23" t="s">
        <v>351</v>
      </c>
    </row>
    <row r="247" spans="1:2" x14ac:dyDescent="0.25">
      <c r="A247" s="23" t="s">
        <v>292</v>
      </c>
      <c r="B247" s="23" t="s">
        <v>351</v>
      </c>
    </row>
    <row r="248" spans="1:2" x14ac:dyDescent="0.25">
      <c r="A248" s="23" t="s">
        <v>293</v>
      </c>
      <c r="B248" s="23" t="s">
        <v>351</v>
      </c>
    </row>
    <row r="249" spans="1:2" x14ac:dyDescent="0.25">
      <c r="A249" s="23" t="s">
        <v>294</v>
      </c>
      <c r="B249" s="23" t="s">
        <v>351</v>
      </c>
    </row>
    <row r="250" spans="1:2" x14ac:dyDescent="0.25">
      <c r="A250" s="21"/>
    </row>
    <row r="251" spans="1:2" x14ac:dyDescent="0.25">
      <c r="A251" s="22" t="s">
        <v>295</v>
      </c>
    </row>
    <row r="252" spans="1:2" x14ac:dyDescent="0.25">
      <c r="A252" s="23" t="s">
        <v>296</v>
      </c>
      <c r="B252" s="24">
        <v>3756</v>
      </c>
    </row>
    <row r="253" spans="1:2" x14ac:dyDescent="0.25">
      <c r="A253" s="23" t="s">
        <v>260</v>
      </c>
      <c r="B253" s="24">
        <v>15602</v>
      </c>
    </row>
    <row r="254" spans="1:2" x14ac:dyDescent="0.25">
      <c r="A254" s="23" t="s">
        <v>75</v>
      </c>
      <c r="B254" s="24">
        <v>6716</v>
      </c>
    </row>
    <row r="255" spans="1:2" x14ac:dyDescent="0.25">
      <c r="A255" s="23" t="s">
        <v>297</v>
      </c>
      <c r="B255" s="24">
        <v>564</v>
      </c>
    </row>
    <row r="256" spans="1:2" x14ac:dyDescent="0.25">
      <c r="A256" s="23" t="s">
        <v>80</v>
      </c>
      <c r="B256" s="24">
        <v>9591</v>
      </c>
    </row>
    <row r="257" spans="1:2" x14ac:dyDescent="0.25">
      <c r="A257" s="23" t="s">
        <v>83</v>
      </c>
      <c r="B257" s="24">
        <v>36229</v>
      </c>
    </row>
    <row r="258" spans="1:2" x14ac:dyDescent="0.25">
      <c r="A258" s="23" t="s">
        <v>298</v>
      </c>
      <c r="B258" s="24">
        <v>14756</v>
      </c>
    </row>
    <row r="259" spans="1:2" x14ac:dyDescent="0.25">
      <c r="A259" s="23" t="s">
        <v>299</v>
      </c>
      <c r="B259" s="24">
        <v>7760</v>
      </c>
    </row>
    <row r="260" spans="1:2" x14ac:dyDescent="0.25">
      <c r="A260" s="23" t="s">
        <v>300</v>
      </c>
      <c r="B260" s="24">
        <v>6996</v>
      </c>
    </row>
    <row r="261" spans="1:2" x14ac:dyDescent="0.25">
      <c r="A261" s="23" t="s">
        <v>301</v>
      </c>
      <c r="B261" s="24">
        <v>0</v>
      </c>
    </row>
    <row r="262" spans="1:2" x14ac:dyDescent="0.25">
      <c r="A262" s="23" t="s">
        <v>302</v>
      </c>
      <c r="B262" s="24">
        <v>7423</v>
      </c>
    </row>
    <row r="263" spans="1:2" x14ac:dyDescent="0.25">
      <c r="A263" s="23" t="s">
        <v>89</v>
      </c>
      <c r="B263" s="24">
        <v>24731</v>
      </c>
    </row>
    <row r="264" spans="1:2" x14ac:dyDescent="0.25">
      <c r="A264" s="23" t="s">
        <v>303</v>
      </c>
      <c r="B264" s="23" t="s">
        <v>351</v>
      </c>
    </row>
    <row r="265" spans="1:2" x14ac:dyDescent="0.25">
      <c r="A265" s="23" t="s">
        <v>90</v>
      </c>
      <c r="B265" s="24">
        <v>4367</v>
      </c>
    </row>
    <row r="266" spans="1:2" x14ac:dyDescent="0.25">
      <c r="A266" s="23" t="s">
        <v>304</v>
      </c>
      <c r="B266" s="24">
        <v>79746</v>
      </c>
    </row>
    <row r="267" spans="1:2" x14ac:dyDescent="0.25">
      <c r="A267" s="23" t="s">
        <v>97</v>
      </c>
      <c r="B267" s="24">
        <v>20832</v>
      </c>
    </row>
    <row r="268" spans="1:2" x14ac:dyDescent="0.25">
      <c r="A268" s="23" t="s">
        <v>305</v>
      </c>
      <c r="B268" s="24">
        <v>0</v>
      </c>
    </row>
    <row r="269" spans="1:2" x14ac:dyDescent="0.25">
      <c r="A269" s="23" t="s">
        <v>306</v>
      </c>
      <c r="B269" s="23" t="s">
        <v>351</v>
      </c>
    </row>
    <row r="270" spans="1:2" x14ac:dyDescent="0.25">
      <c r="A270" s="23" t="s">
        <v>307</v>
      </c>
      <c r="B270" s="23" t="s">
        <v>351</v>
      </c>
    </row>
    <row r="271" spans="1:2" x14ac:dyDescent="0.25">
      <c r="A271" s="23" t="s">
        <v>308</v>
      </c>
      <c r="B271" s="24">
        <v>5440</v>
      </c>
    </row>
    <row r="272" spans="1:2" x14ac:dyDescent="0.25">
      <c r="A272" s="23" t="s">
        <v>309</v>
      </c>
      <c r="B272" s="24">
        <v>20255</v>
      </c>
    </row>
    <row r="273" spans="1:2" x14ac:dyDescent="0.25">
      <c r="A273" s="23" t="s">
        <v>310</v>
      </c>
      <c r="B273" s="24">
        <v>46527</v>
      </c>
    </row>
    <row r="274" spans="1:2" x14ac:dyDescent="0.25">
      <c r="A274" s="23" t="s">
        <v>311</v>
      </c>
      <c r="B274" s="24">
        <v>19885</v>
      </c>
    </row>
    <row r="275" spans="1:2" x14ac:dyDescent="0.25">
      <c r="A275" s="23" t="s">
        <v>312</v>
      </c>
      <c r="B275" s="23" t="s">
        <v>351</v>
      </c>
    </row>
    <row r="276" spans="1:2" x14ac:dyDescent="0.25">
      <c r="A276" s="23" t="s">
        <v>231</v>
      </c>
      <c r="B276" s="24">
        <v>0</v>
      </c>
    </row>
    <row r="277" spans="1:2" x14ac:dyDescent="0.25">
      <c r="A277" s="23" t="s">
        <v>111</v>
      </c>
      <c r="B277" s="24">
        <v>14721</v>
      </c>
    </row>
    <row r="278" spans="1:2" x14ac:dyDescent="0.25">
      <c r="A278" s="23" t="s">
        <v>313</v>
      </c>
      <c r="B278" s="23" t="s">
        <v>351</v>
      </c>
    </row>
    <row r="279" spans="1:2" x14ac:dyDescent="0.25">
      <c r="A279" s="23" t="s">
        <v>115</v>
      </c>
      <c r="B279" s="24">
        <v>0</v>
      </c>
    </row>
    <row r="280" spans="1:2" x14ac:dyDescent="0.25">
      <c r="A280" s="23" t="s">
        <v>291</v>
      </c>
      <c r="B280" s="24">
        <v>0</v>
      </c>
    </row>
    <row r="281" spans="1:2" x14ac:dyDescent="0.25">
      <c r="A281" s="23" t="s">
        <v>314</v>
      </c>
      <c r="B281" s="24">
        <v>8</v>
      </c>
    </row>
    <row r="282" spans="1:2" x14ac:dyDescent="0.25">
      <c r="A282" s="23" t="s">
        <v>315</v>
      </c>
      <c r="B282" s="24">
        <v>9111</v>
      </c>
    </row>
    <row r="283" spans="1:2" x14ac:dyDescent="0.25">
      <c r="A283" s="23" t="s">
        <v>316</v>
      </c>
      <c r="B283" s="24">
        <v>-2099</v>
      </c>
    </row>
    <row r="284" spans="1:2" x14ac:dyDescent="0.25">
      <c r="A284" s="23" t="s">
        <v>317</v>
      </c>
      <c r="B284" s="24">
        <v>8502</v>
      </c>
    </row>
    <row r="285" spans="1:2" x14ac:dyDescent="0.25">
      <c r="A285" s="23" t="s">
        <v>126</v>
      </c>
      <c r="B285" s="24">
        <v>-1482</v>
      </c>
    </row>
    <row r="286" spans="1:2" x14ac:dyDescent="0.25">
      <c r="A286" s="23" t="s">
        <v>127</v>
      </c>
      <c r="B286" s="24">
        <v>95</v>
      </c>
    </row>
    <row r="287" spans="1:2" x14ac:dyDescent="0.25">
      <c r="A287" s="23" t="s">
        <v>318</v>
      </c>
      <c r="B287" s="24">
        <v>-1387</v>
      </c>
    </row>
    <row r="288" spans="1:2" x14ac:dyDescent="0.25">
      <c r="A288" s="23" t="s">
        <v>131</v>
      </c>
      <c r="B288" s="24">
        <v>95567</v>
      </c>
    </row>
    <row r="289" spans="1:2" x14ac:dyDescent="0.25">
      <c r="A289" s="23" t="s">
        <v>132</v>
      </c>
      <c r="B289" s="24">
        <v>71468</v>
      </c>
    </row>
    <row r="290" spans="1:2" x14ac:dyDescent="0.25">
      <c r="A290" s="23" t="s">
        <v>319</v>
      </c>
      <c r="B290" s="24">
        <v>0</v>
      </c>
    </row>
    <row r="291" spans="1:2" x14ac:dyDescent="0.25">
      <c r="A291" s="23" t="s">
        <v>320</v>
      </c>
      <c r="B291" s="24">
        <v>14046</v>
      </c>
    </row>
    <row r="292" spans="1:2" x14ac:dyDescent="0.25">
      <c r="A292" s="23" t="s">
        <v>134</v>
      </c>
      <c r="B292" s="24">
        <v>10053</v>
      </c>
    </row>
    <row r="293" spans="1:2" x14ac:dyDescent="0.25">
      <c r="A293" s="23" t="s">
        <v>321</v>
      </c>
      <c r="B293" s="24">
        <v>3123</v>
      </c>
    </row>
    <row r="294" spans="1:2" x14ac:dyDescent="0.25">
      <c r="A294" s="23" t="s">
        <v>139</v>
      </c>
      <c r="B294" s="24">
        <v>6930</v>
      </c>
    </row>
    <row r="295" spans="1:2" x14ac:dyDescent="0.25">
      <c r="A295" s="23" t="s">
        <v>140</v>
      </c>
      <c r="B295" s="24">
        <v>1394</v>
      </c>
    </row>
    <row r="296" spans="1:2" x14ac:dyDescent="0.25">
      <c r="A296" s="23" t="s">
        <v>322</v>
      </c>
      <c r="B296" s="24">
        <v>205</v>
      </c>
    </row>
    <row r="297" spans="1:2" x14ac:dyDescent="0.25">
      <c r="A297" s="23" t="s">
        <v>144</v>
      </c>
      <c r="B297" s="24">
        <v>-693</v>
      </c>
    </row>
    <row r="298" spans="1:2" x14ac:dyDescent="0.25">
      <c r="A298" s="23" t="s">
        <v>145</v>
      </c>
      <c r="B298" s="24">
        <v>5048</v>
      </c>
    </row>
    <row r="299" spans="1:2" x14ac:dyDescent="0.25">
      <c r="A299" s="23" t="s">
        <v>148</v>
      </c>
      <c r="B299" s="24">
        <v>472</v>
      </c>
    </row>
    <row r="300" spans="1:2" x14ac:dyDescent="0.25">
      <c r="A300" s="23" t="s">
        <v>157</v>
      </c>
      <c r="B300" s="24">
        <v>-16</v>
      </c>
    </row>
    <row r="301" spans="1:2" x14ac:dyDescent="0.25">
      <c r="A301" s="23" t="s">
        <v>323</v>
      </c>
      <c r="B301" s="24">
        <v>4592</v>
      </c>
    </row>
    <row r="302" spans="1:2" x14ac:dyDescent="0.25">
      <c r="A302" s="23" t="s">
        <v>324</v>
      </c>
      <c r="B302" s="24">
        <v>0</v>
      </c>
    </row>
    <row r="303" spans="1:2" x14ac:dyDescent="0.25">
      <c r="A303" s="23" t="s">
        <v>325</v>
      </c>
      <c r="B303" s="24">
        <v>0</v>
      </c>
    </row>
    <row r="304" spans="1:2" x14ac:dyDescent="0.25">
      <c r="A304" s="23" t="s">
        <v>167</v>
      </c>
      <c r="B304" s="24">
        <v>4592</v>
      </c>
    </row>
    <row r="305" spans="1:2" x14ac:dyDescent="0.25">
      <c r="A305" s="23" t="s">
        <v>326</v>
      </c>
      <c r="B305" s="24">
        <v>0</v>
      </c>
    </row>
    <row r="306" spans="1:2" x14ac:dyDescent="0.25">
      <c r="A306" s="23" t="s">
        <v>327</v>
      </c>
      <c r="B306" s="24">
        <v>6.51</v>
      </c>
    </row>
    <row r="307" spans="1:2" x14ac:dyDescent="0.25">
      <c r="A307" s="23" t="s">
        <v>328</v>
      </c>
      <c r="B307" s="24">
        <v>6.51</v>
      </c>
    </row>
    <row r="308" spans="1:2" x14ac:dyDescent="0.25">
      <c r="A308" s="23" t="s">
        <v>329</v>
      </c>
      <c r="B308" s="24">
        <v>6.38</v>
      </c>
    </row>
    <row r="309" spans="1:2" x14ac:dyDescent="0.25">
      <c r="A309" s="23" t="s">
        <v>330</v>
      </c>
      <c r="B309" s="24">
        <v>6.38</v>
      </c>
    </row>
    <row r="310" spans="1:2" x14ac:dyDescent="0.25">
      <c r="A310" s="23" t="s">
        <v>331</v>
      </c>
      <c r="B310" s="24">
        <v>705</v>
      </c>
    </row>
    <row r="311" spans="1:2" x14ac:dyDescent="0.25">
      <c r="A311" s="21" t="s">
        <v>168</v>
      </c>
    </row>
    <row r="312" spans="1:2" x14ac:dyDescent="0.25">
      <c r="A312" s="23" t="s">
        <v>332</v>
      </c>
      <c r="B312" s="24">
        <v>720</v>
      </c>
    </row>
    <row r="313" spans="1:2" x14ac:dyDescent="0.25">
      <c r="A313" s="55" t="s">
        <v>333</v>
      </c>
      <c r="B313" s="24">
        <v>696</v>
      </c>
    </row>
    <row r="314" spans="1:2" x14ac:dyDescent="0.25">
      <c r="A314" s="23" t="s">
        <v>179</v>
      </c>
      <c r="B314" s="24">
        <v>4521</v>
      </c>
    </row>
    <row r="315" spans="1:2" x14ac:dyDescent="0.25">
      <c r="A315" s="23" t="s">
        <v>184</v>
      </c>
      <c r="B315" s="24">
        <v>2652</v>
      </c>
    </row>
    <row r="316" spans="1:2" x14ac:dyDescent="0.25">
      <c r="A316" s="23" t="s">
        <v>334</v>
      </c>
      <c r="B316" s="24">
        <v>0</v>
      </c>
    </row>
    <row r="317" spans="1:2" x14ac:dyDescent="0.25">
      <c r="A317" s="23" t="s">
        <v>186</v>
      </c>
      <c r="B317" s="24">
        <v>0</v>
      </c>
    </row>
    <row r="318" spans="1:2" x14ac:dyDescent="0.25">
      <c r="A318" s="23" t="s">
        <v>335</v>
      </c>
      <c r="B318" s="24">
        <v>-2215</v>
      </c>
    </row>
    <row r="319" spans="1:2" x14ac:dyDescent="0.25">
      <c r="A319" s="23" t="s">
        <v>192</v>
      </c>
      <c r="B319" s="24">
        <v>1275</v>
      </c>
    </row>
    <row r="320" spans="1:2" x14ac:dyDescent="0.25">
      <c r="A320" s="21" t="s">
        <v>336</v>
      </c>
    </row>
    <row r="321" spans="1:2" x14ac:dyDescent="0.25">
      <c r="A321" s="23" t="s">
        <v>337</v>
      </c>
      <c r="B321" s="24">
        <v>1304</v>
      </c>
    </row>
    <row r="322" spans="1:2" x14ac:dyDescent="0.25">
      <c r="A322" s="23" t="s">
        <v>202</v>
      </c>
      <c r="B322" s="24">
        <v>555</v>
      </c>
    </row>
    <row r="323" spans="1:2" x14ac:dyDescent="0.25">
      <c r="A323" s="23" t="s">
        <v>338</v>
      </c>
      <c r="B323" s="23" t="s">
        <v>351</v>
      </c>
    </row>
    <row r="324" spans="1:2" x14ac:dyDescent="0.25">
      <c r="A324" s="23" t="s">
        <v>339</v>
      </c>
      <c r="B324" s="23" t="s">
        <v>351</v>
      </c>
    </row>
    <row r="325" spans="1:2" x14ac:dyDescent="0.25">
      <c r="A325" s="23" t="s">
        <v>340</v>
      </c>
      <c r="B325" s="23" t="s">
        <v>351</v>
      </c>
    </row>
    <row r="326" spans="1:2" x14ac:dyDescent="0.25">
      <c r="A326" s="23" t="s">
        <v>206</v>
      </c>
      <c r="B326" s="24">
        <v>1</v>
      </c>
    </row>
    <row r="327" spans="1:2" x14ac:dyDescent="0.25">
      <c r="A327" s="23" t="s">
        <v>207</v>
      </c>
      <c r="B327" s="24">
        <v>800</v>
      </c>
    </row>
    <row r="328" spans="1:2" x14ac:dyDescent="0.25">
      <c r="A328" s="23" t="s">
        <v>221</v>
      </c>
      <c r="B328" s="24">
        <v>1.78</v>
      </c>
    </row>
    <row r="329" spans="1:2" x14ac:dyDescent="0.25">
      <c r="A329" s="23" t="s">
        <v>222</v>
      </c>
      <c r="B329" s="24">
        <v>1299</v>
      </c>
    </row>
    <row r="330" spans="1:2" x14ac:dyDescent="0.25">
      <c r="A330" s="23" t="s">
        <v>223</v>
      </c>
      <c r="B330" s="24">
        <v>0</v>
      </c>
    </row>
    <row r="331" spans="1:2" x14ac:dyDescent="0.25">
      <c r="A331" s="23" t="s">
        <v>236</v>
      </c>
      <c r="B331" s="24">
        <v>0</v>
      </c>
    </row>
    <row r="332" spans="1:2" x14ac:dyDescent="0.25">
      <c r="A332" s="23" t="s">
        <v>237</v>
      </c>
      <c r="B332" s="24">
        <v>0</v>
      </c>
    </row>
    <row r="333" spans="1:2" x14ac:dyDescent="0.25">
      <c r="A333" s="23" t="s">
        <v>239</v>
      </c>
      <c r="B333" s="24">
        <v>115.24</v>
      </c>
    </row>
    <row r="334" spans="1:2" x14ac:dyDescent="0.25">
      <c r="A334" s="23" t="s">
        <v>242</v>
      </c>
      <c r="B334" s="24">
        <v>103.6</v>
      </c>
    </row>
    <row r="335" spans="1:2" x14ac:dyDescent="0.25">
      <c r="A335" s="23" t="s">
        <v>243</v>
      </c>
      <c r="B335" s="24">
        <v>141</v>
      </c>
    </row>
    <row r="336" spans="1:2" x14ac:dyDescent="0.25">
      <c r="A336" s="23" t="s">
        <v>249</v>
      </c>
      <c r="B336" s="24">
        <v>355</v>
      </c>
    </row>
    <row r="337" spans="1:2" x14ac:dyDescent="0.25">
      <c r="A337" s="23" t="s">
        <v>251</v>
      </c>
      <c r="B337" s="24">
        <v>3061</v>
      </c>
    </row>
  </sheetData>
  <mergeCells count="1">
    <mergeCell ref="F3:M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88C8-E858-4917-AA6C-6EA3D8353553}">
  <dimension ref="A1:F23"/>
  <sheetViews>
    <sheetView zoomScale="175" zoomScaleNormal="175" workbookViewId="0"/>
  </sheetViews>
  <sheetFormatPr defaultRowHeight="15" x14ac:dyDescent="0.25"/>
  <cols>
    <col min="2" max="2" width="34" bestFit="1" customWidth="1"/>
    <col min="3" max="3" width="15" bestFit="1" customWidth="1"/>
    <col min="4" max="4" width="13" customWidth="1"/>
  </cols>
  <sheetData>
    <row r="1" spans="1:6" x14ac:dyDescent="0.25">
      <c r="A1" s="11" t="s">
        <v>21</v>
      </c>
      <c r="B1" s="1"/>
      <c r="C1" s="1"/>
      <c r="D1" s="1"/>
      <c r="E1" s="1"/>
    </row>
    <row r="2" spans="1:6" ht="15.75" x14ac:dyDescent="0.25">
      <c r="A2" s="10" t="s">
        <v>0</v>
      </c>
      <c r="B2" s="4" t="s">
        <v>29</v>
      </c>
      <c r="C2" s="60">
        <v>3.7190000000000001E-2</v>
      </c>
      <c r="D2" s="1" t="s">
        <v>345</v>
      </c>
      <c r="E2" s="1"/>
    </row>
    <row r="3" spans="1:6" ht="15.75" x14ac:dyDescent="0.25">
      <c r="A3" s="10" t="s">
        <v>1</v>
      </c>
      <c r="B3" s="4" t="s">
        <v>5</v>
      </c>
      <c r="C3" s="2">
        <v>1.0900000000000001</v>
      </c>
      <c r="D3" s="1" t="s">
        <v>345</v>
      </c>
      <c r="E3" s="1"/>
    </row>
    <row r="4" spans="1:6" ht="15.75" x14ac:dyDescent="0.25">
      <c r="A4" s="10" t="s">
        <v>2</v>
      </c>
      <c r="B4" s="4" t="s">
        <v>9</v>
      </c>
      <c r="C4" s="12">
        <v>0.04</v>
      </c>
      <c r="D4" s="1"/>
      <c r="E4" s="1"/>
    </row>
    <row r="5" spans="1:6" ht="15.75" x14ac:dyDescent="0.25">
      <c r="A5" s="9"/>
      <c r="B5" s="4" t="s">
        <v>16</v>
      </c>
      <c r="C5" s="5">
        <f>C2+C3*C4</f>
        <v>8.0790000000000001E-2</v>
      </c>
      <c r="D5" s="56" t="s">
        <v>341</v>
      </c>
      <c r="E5" s="1"/>
    </row>
    <row r="6" spans="1:6" ht="15.75" x14ac:dyDescent="0.25">
      <c r="A6" s="7"/>
      <c r="B6" s="14"/>
      <c r="C6" s="1"/>
      <c r="D6" s="1"/>
      <c r="E6" s="1"/>
    </row>
    <row r="7" spans="1:6" ht="15.75" x14ac:dyDescent="0.25">
      <c r="A7" s="11" t="s">
        <v>22</v>
      </c>
      <c r="B7" s="4" t="s">
        <v>33</v>
      </c>
      <c r="C7" s="13" t="s">
        <v>352</v>
      </c>
      <c r="D7" s="1"/>
      <c r="E7" s="1"/>
    </row>
    <row r="8" spans="1:6" ht="15.75" x14ac:dyDescent="0.25">
      <c r="A8" s="10"/>
      <c r="B8" s="4" t="s">
        <v>15</v>
      </c>
      <c r="C8" s="25">
        <v>0.1</v>
      </c>
      <c r="D8" s="1"/>
      <c r="E8" s="1"/>
    </row>
    <row r="9" spans="1:6" ht="15.75" x14ac:dyDescent="0.25">
      <c r="A9" s="9"/>
      <c r="B9" s="4" t="s">
        <v>17</v>
      </c>
      <c r="C9" s="5">
        <f>C2+C8*C4</f>
        <v>4.1190000000000004E-2</v>
      </c>
      <c r="D9" s="1" t="s">
        <v>342</v>
      </c>
      <c r="E9" s="1"/>
    </row>
    <row r="10" spans="1:6" ht="15.75" x14ac:dyDescent="0.25">
      <c r="A10" s="7"/>
      <c r="B10" s="14"/>
      <c r="C10" s="1"/>
      <c r="D10" s="1"/>
      <c r="E10" s="1"/>
    </row>
    <row r="11" spans="1:6" ht="15.75" x14ac:dyDescent="0.25">
      <c r="A11" s="11" t="s">
        <v>24</v>
      </c>
      <c r="B11" s="14"/>
      <c r="C11" s="3" t="s">
        <v>23</v>
      </c>
      <c r="D11" s="1"/>
      <c r="E11" s="1"/>
    </row>
    <row r="12" spans="1:6" ht="15.75" x14ac:dyDescent="0.25">
      <c r="A12" s="9"/>
      <c r="B12" s="4" t="s">
        <v>18</v>
      </c>
      <c r="C12" s="15">
        <f>'Dell''s Complete Financials'!B7</f>
        <v>3756</v>
      </c>
      <c r="D12" s="1" t="s">
        <v>8</v>
      </c>
      <c r="E12" s="1"/>
    </row>
    <row r="13" spans="1:6" ht="15.75" x14ac:dyDescent="0.25">
      <c r="A13" s="9"/>
      <c r="B13" s="4" t="s">
        <v>19</v>
      </c>
      <c r="C13" s="15">
        <f>'Dell''s Complete Financials'!B34</f>
        <v>5440</v>
      </c>
      <c r="D13" s="1" t="s">
        <v>8</v>
      </c>
      <c r="E13" s="1"/>
    </row>
    <row r="14" spans="1:6" ht="15.75" x14ac:dyDescent="0.25">
      <c r="A14" s="9"/>
      <c r="B14" s="4" t="s">
        <v>20</v>
      </c>
      <c r="C14" s="15">
        <f>'Dell''s Complete Financials'!B43</f>
        <v>19885</v>
      </c>
      <c r="D14" s="1" t="s">
        <v>8</v>
      </c>
      <c r="E14" s="1"/>
      <c r="F14" s="26"/>
    </row>
    <row r="15" spans="1:6" ht="15.75" x14ac:dyDescent="0.25">
      <c r="A15" s="9"/>
      <c r="B15" s="14" t="s">
        <v>3</v>
      </c>
      <c r="C15" s="17">
        <f>C13+C14-C12</f>
        <v>21569</v>
      </c>
      <c r="D15" s="1" t="s">
        <v>8</v>
      </c>
      <c r="E15" s="1" t="s">
        <v>346</v>
      </c>
    </row>
    <row r="16" spans="1:6" ht="15.75" x14ac:dyDescent="0.25">
      <c r="A16" s="7"/>
      <c r="B16" s="4"/>
      <c r="C16" s="1"/>
      <c r="D16" s="1"/>
      <c r="E16" s="1"/>
    </row>
    <row r="17" spans="1:5" ht="15.75" x14ac:dyDescent="0.25">
      <c r="A17" s="11" t="s">
        <v>25</v>
      </c>
      <c r="B17" s="14" t="s">
        <v>12</v>
      </c>
      <c r="C17">
        <v>103.6</v>
      </c>
      <c r="D17" s="1" t="s">
        <v>13</v>
      </c>
      <c r="E17" s="1" t="s">
        <v>345</v>
      </c>
    </row>
    <row r="18" spans="1:5" ht="15.75" x14ac:dyDescent="0.25">
      <c r="A18" s="10"/>
      <c r="B18" s="4" t="s">
        <v>10</v>
      </c>
      <c r="C18" s="16">
        <f>'Dell''s Complete Financials'!B313</f>
        <v>696</v>
      </c>
      <c r="D18" s="1" t="s">
        <v>11</v>
      </c>
      <c r="E18" s="1" t="s">
        <v>14</v>
      </c>
    </row>
    <row r="19" spans="1:5" ht="15.75" x14ac:dyDescent="0.25">
      <c r="A19" s="10"/>
      <c r="B19" s="14" t="s">
        <v>6</v>
      </c>
      <c r="C19" s="17">
        <f>C17*C18</f>
        <v>72105.599999999991</v>
      </c>
      <c r="D19" s="1" t="s">
        <v>8</v>
      </c>
      <c r="E19" s="1" t="s">
        <v>343</v>
      </c>
    </row>
    <row r="20" spans="1:5" ht="15.75" x14ac:dyDescent="0.25">
      <c r="A20" s="19" t="s">
        <v>26</v>
      </c>
      <c r="B20" s="14" t="s">
        <v>7</v>
      </c>
      <c r="C20" s="17">
        <f>C19+C15</f>
        <v>93674.599999999991</v>
      </c>
      <c r="D20" s="1" t="s">
        <v>8</v>
      </c>
      <c r="E20" s="1" t="s">
        <v>344</v>
      </c>
    </row>
    <row r="21" spans="1:5" ht="15.75" x14ac:dyDescent="0.25">
      <c r="A21" s="8"/>
      <c r="B21" s="14"/>
      <c r="C21" s="6"/>
      <c r="D21" s="1"/>
      <c r="E21" s="1"/>
    </row>
    <row r="22" spans="1:5" ht="15.75" x14ac:dyDescent="0.25">
      <c r="A22" s="19" t="s">
        <v>27</v>
      </c>
      <c r="B22" s="14" t="s">
        <v>28</v>
      </c>
      <c r="C22" s="20">
        <v>0.21</v>
      </c>
      <c r="D22" s="1"/>
      <c r="E22" s="1"/>
    </row>
    <row r="23" spans="1:5" ht="15.75" x14ac:dyDescent="0.25">
      <c r="A23" s="10"/>
      <c r="B23" s="14" t="s">
        <v>4</v>
      </c>
      <c r="C23" s="18">
        <f>C19/C20*C5+C15/C20*C9*(1-C22)</f>
        <v>6.9680242465940609E-2</v>
      </c>
    </row>
  </sheetData>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AFD94-5DB6-4F11-9E59-7A5E7F47F485}">
  <dimension ref="A1:M337"/>
  <sheetViews>
    <sheetView zoomScale="120" zoomScaleNormal="120" workbookViewId="0"/>
  </sheetViews>
  <sheetFormatPr defaultRowHeight="15" x14ac:dyDescent="0.25"/>
  <cols>
    <col min="5" max="5" width="21.140625" customWidth="1"/>
  </cols>
  <sheetData>
    <row r="1" spans="1:13" x14ac:dyDescent="0.25">
      <c r="A1" s="61" t="s">
        <v>353</v>
      </c>
    </row>
    <row r="2" spans="1:13" x14ac:dyDescent="0.25">
      <c r="A2" s="61" t="s">
        <v>354</v>
      </c>
    </row>
    <row r="3" spans="1:13" x14ac:dyDescent="0.25">
      <c r="A3" s="61"/>
      <c r="E3" s="61">
        <v>2024</v>
      </c>
      <c r="F3" s="72" t="s">
        <v>347</v>
      </c>
      <c r="G3" s="72"/>
      <c r="H3" s="72"/>
      <c r="I3" s="72"/>
      <c r="J3" s="72"/>
      <c r="K3" s="72"/>
      <c r="L3" s="72"/>
      <c r="M3" s="72"/>
    </row>
    <row r="4" spans="1:13" ht="14.25" customHeight="1" x14ac:dyDescent="0.25">
      <c r="A4" s="61"/>
      <c r="F4" s="72"/>
      <c r="G4" s="72"/>
      <c r="H4" s="72"/>
      <c r="I4" s="72"/>
      <c r="J4" s="72"/>
      <c r="K4" s="72"/>
      <c r="L4" s="72"/>
      <c r="M4" s="72"/>
    </row>
    <row r="5" spans="1:13" ht="14.25" customHeight="1" x14ac:dyDescent="0.25">
      <c r="A5" s="62" t="s">
        <v>31</v>
      </c>
      <c r="F5" s="72"/>
      <c r="G5" s="72"/>
      <c r="H5" s="72"/>
      <c r="I5" s="72"/>
      <c r="J5" s="72"/>
      <c r="K5" s="72"/>
      <c r="L5" s="72"/>
      <c r="M5" s="72"/>
    </row>
    <row r="6" spans="1:13" x14ac:dyDescent="0.25">
      <c r="A6" s="61" t="s">
        <v>68</v>
      </c>
    </row>
    <row r="7" spans="1:13" x14ac:dyDescent="0.25">
      <c r="A7" s="63" t="s">
        <v>18</v>
      </c>
      <c r="B7" s="64"/>
      <c r="C7" s="64"/>
      <c r="D7" s="64"/>
      <c r="E7" s="65">
        <v>75543</v>
      </c>
    </row>
    <row r="8" spans="1:13" x14ac:dyDescent="0.25">
      <c r="A8" s="59" t="s">
        <v>69</v>
      </c>
      <c r="E8" s="58">
        <v>18315</v>
      </c>
    </row>
    <row r="9" spans="1:13" x14ac:dyDescent="0.25">
      <c r="A9" s="59" t="s">
        <v>70</v>
      </c>
      <c r="E9" s="58">
        <v>57228</v>
      </c>
    </row>
    <row r="10" spans="1:13" x14ac:dyDescent="0.25">
      <c r="A10" s="59" t="s">
        <v>71</v>
      </c>
      <c r="E10" s="58">
        <v>67424</v>
      </c>
    </row>
    <row r="11" spans="1:13" x14ac:dyDescent="0.25">
      <c r="A11" s="59" t="s">
        <v>72</v>
      </c>
      <c r="E11" s="58">
        <v>56924</v>
      </c>
    </row>
    <row r="12" spans="1:13" x14ac:dyDescent="0.25">
      <c r="A12" s="59" t="s">
        <v>73</v>
      </c>
      <c r="E12" s="58">
        <v>0</v>
      </c>
    </row>
    <row r="13" spans="1:13" x14ac:dyDescent="0.25">
      <c r="A13" s="59" t="s">
        <v>74</v>
      </c>
      <c r="E13" s="58">
        <v>10500</v>
      </c>
    </row>
    <row r="14" spans="1:13" x14ac:dyDescent="0.25">
      <c r="A14" s="59" t="s">
        <v>75</v>
      </c>
      <c r="E14" s="58">
        <v>1246</v>
      </c>
    </row>
    <row r="15" spans="1:13" x14ac:dyDescent="0.25">
      <c r="A15" s="59" t="s">
        <v>76</v>
      </c>
      <c r="E15" s="58">
        <v>394</v>
      </c>
    </row>
    <row r="16" spans="1:13" x14ac:dyDescent="0.25">
      <c r="A16" s="59" t="s">
        <v>77</v>
      </c>
      <c r="E16" s="58">
        <v>7</v>
      </c>
    </row>
    <row r="17" spans="1:5" x14ac:dyDescent="0.25">
      <c r="A17" s="59" t="s">
        <v>78</v>
      </c>
      <c r="E17" s="58">
        <v>845</v>
      </c>
    </row>
    <row r="18" spans="1:5" x14ac:dyDescent="0.25">
      <c r="A18" s="59" t="s">
        <v>79</v>
      </c>
      <c r="E18" s="58">
        <v>0</v>
      </c>
    </row>
    <row r="19" spans="1:5" x14ac:dyDescent="0.25">
      <c r="A19" s="59" t="s">
        <v>80</v>
      </c>
      <c r="E19" s="58">
        <v>15521</v>
      </c>
    </row>
    <row r="20" spans="1:5" x14ac:dyDescent="0.25">
      <c r="A20" s="59" t="s">
        <v>81</v>
      </c>
      <c r="E20" s="58">
        <v>0</v>
      </c>
    </row>
    <row r="21" spans="1:5" x14ac:dyDescent="0.25">
      <c r="A21" s="59" t="s">
        <v>82</v>
      </c>
      <c r="E21" s="58">
        <v>15521</v>
      </c>
    </row>
    <row r="22" spans="1:5" x14ac:dyDescent="0.25">
      <c r="A22" s="59" t="s">
        <v>83</v>
      </c>
      <c r="E22" s="58">
        <v>159734</v>
      </c>
    </row>
    <row r="23" spans="1:5" x14ac:dyDescent="0.25">
      <c r="A23" s="59" t="s">
        <v>84</v>
      </c>
      <c r="E23" s="58">
        <v>154552</v>
      </c>
    </row>
    <row r="24" spans="1:5" x14ac:dyDescent="0.25">
      <c r="A24" s="59" t="s">
        <v>85</v>
      </c>
      <c r="E24" s="58">
        <v>230973</v>
      </c>
    </row>
    <row r="25" spans="1:5" x14ac:dyDescent="0.25">
      <c r="A25" s="59" t="s">
        <v>86</v>
      </c>
      <c r="E25" s="58">
        <v>76421</v>
      </c>
    </row>
    <row r="26" spans="1:5" x14ac:dyDescent="0.25">
      <c r="A26" s="59" t="s">
        <v>87</v>
      </c>
      <c r="E26" s="58">
        <v>6000</v>
      </c>
    </row>
    <row r="27" spans="1:5" x14ac:dyDescent="0.25">
      <c r="A27" s="59" t="s">
        <v>88</v>
      </c>
      <c r="E27" s="58">
        <v>13500</v>
      </c>
    </row>
    <row r="28" spans="1:5" x14ac:dyDescent="0.25">
      <c r="A28" s="59" t="s">
        <v>89</v>
      </c>
      <c r="E28" s="58">
        <v>146817</v>
      </c>
    </row>
    <row r="29" spans="1:5" x14ac:dyDescent="0.25">
      <c r="A29" s="59" t="s">
        <v>90</v>
      </c>
      <c r="E29" s="58">
        <v>31560</v>
      </c>
    </row>
    <row r="30" spans="1:5" x14ac:dyDescent="0.25">
      <c r="A30" s="59" t="s">
        <v>91</v>
      </c>
      <c r="E30" s="58">
        <v>0</v>
      </c>
    </row>
    <row r="31" spans="1:5" x14ac:dyDescent="0.25">
      <c r="A31" s="59" t="s">
        <v>92</v>
      </c>
      <c r="E31" s="58">
        <v>31560</v>
      </c>
    </row>
    <row r="32" spans="1:5" x14ac:dyDescent="0.25">
      <c r="A32" s="59" t="s">
        <v>93</v>
      </c>
      <c r="E32" s="58">
        <v>512163</v>
      </c>
    </row>
    <row r="33" spans="1:5" x14ac:dyDescent="0.25">
      <c r="A33" s="61" t="s">
        <v>94</v>
      </c>
    </row>
    <row r="34" spans="1:5" x14ac:dyDescent="0.25">
      <c r="A34" s="63" t="s">
        <v>19</v>
      </c>
      <c r="B34" s="64"/>
      <c r="C34" s="64"/>
      <c r="D34" s="64"/>
      <c r="E34" s="65">
        <v>14871</v>
      </c>
    </row>
    <row r="35" spans="1:5" x14ac:dyDescent="0.25">
      <c r="A35" s="59" t="s">
        <v>95</v>
      </c>
      <c r="E35" s="58">
        <v>6693</v>
      </c>
    </row>
    <row r="36" spans="1:5" x14ac:dyDescent="0.25">
      <c r="A36" s="59" t="s">
        <v>96</v>
      </c>
      <c r="E36" s="58">
        <v>8178</v>
      </c>
    </row>
    <row r="37" spans="1:5" x14ac:dyDescent="0.25">
      <c r="A37" s="59" t="s">
        <v>97</v>
      </c>
      <c r="E37" s="58">
        <v>21996</v>
      </c>
    </row>
    <row r="38" spans="1:5" x14ac:dyDescent="0.25">
      <c r="A38" s="59" t="s">
        <v>98</v>
      </c>
      <c r="E38" s="58">
        <v>5017</v>
      </c>
    </row>
    <row r="39" spans="1:5" x14ac:dyDescent="0.25">
      <c r="A39" s="59" t="s">
        <v>99</v>
      </c>
      <c r="E39" s="58">
        <v>83402</v>
      </c>
    </row>
    <row r="40" spans="1:5" x14ac:dyDescent="0.25">
      <c r="A40" s="59" t="s">
        <v>100</v>
      </c>
      <c r="E40" s="58">
        <v>12564</v>
      </c>
    </row>
    <row r="41" spans="1:5" x14ac:dyDescent="0.25">
      <c r="A41" s="59" t="s">
        <v>101</v>
      </c>
      <c r="E41" s="58">
        <v>70838</v>
      </c>
    </row>
    <row r="42" spans="1:5" x14ac:dyDescent="0.25">
      <c r="A42" s="59" t="s">
        <v>102</v>
      </c>
      <c r="E42" s="58">
        <v>125286</v>
      </c>
    </row>
    <row r="43" spans="1:5" x14ac:dyDescent="0.25">
      <c r="A43" s="63" t="s">
        <v>20</v>
      </c>
      <c r="B43" s="64"/>
      <c r="C43" s="64"/>
      <c r="D43" s="64"/>
      <c r="E43" s="65">
        <v>82981</v>
      </c>
    </row>
    <row r="44" spans="1:5" x14ac:dyDescent="0.25">
      <c r="A44" s="59" t="s">
        <v>103</v>
      </c>
      <c r="E44" s="58">
        <v>0</v>
      </c>
    </row>
    <row r="45" spans="1:5" x14ac:dyDescent="0.25">
      <c r="A45" s="59" t="s">
        <v>104</v>
      </c>
      <c r="E45" s="58">
        <v>0</v>
      </c>
    </row>
    <row r="46" spans="1:5" x14ac:dyDescent="0.25">
      <c r="A46" s="59" t="s">
        <v>105</v>
      </c>
      <c r="E46" s="58">
        <v>0</v>
      </c>
    </row>
    <row r="47" spans="1:5" x14ac:dyDescent="0.25">
      <c r="A47" s="59" t="s">
        <v>106</v>
      </c>
      <c r="E47" s="58">
        <v>0</v>
      </c>
    </row>
    <row r="48" spans="1:5" x14ac:dyDescent="0.25">
      <c r="A48" s="59" t="s">
        <v>107</v>
      </c>
      <c r="E48" s="58">
        <v>0</v>
      </c>
    </row>
    <row r="49" spans="1:5" x14ac:dyDescent="0.25">
      <c r="A49" s="59" t="s">
        <v>108</v>
      </c>
      <c r="E49" s="58">
        <v>0</v>
      </c>
    </row>
    <row r="50" spans="1:5" x14ac:dyDescent="0.25">
      <c r="A50" s="59" t="s">
        <v>109</v>
      </c>
      <c r="E50" s="58">
        <v>58185</v>
      </c>
    </row>
    <row r="51" spans="1:5" x14ac:dyDescent="0.25">
      <c r="A51" s="59" t="s">
        <v>110</v>
      </c>
      <c r="E51" s="58">
        <v>24796</v>
      </c>
    </row>
    <row r="52" spans="1:5" x14ac:dyDescent="0.25">
      <c r="A52" s="59" t="s">
        <v>111</v>
      </c>
      <c r="E52" s="58">
        <v>32801</v>
      </c>
    </row>
    <row r="53" spans="1:5" x14ac:dyDescent="0.25">
      <c r="A53" s="59" t="s">
        <v>112</v>
      </c>
      <c r="E53" s="58">
        <v>2618</v>
      </c>
    </row>
    <row r="54" spans="1:5" x14ac:dyDescent="0.25">
      <c r="A54" s="59" t="s">
        <v>113</v>
      </c>
      <c r="E54" s="58">
        <v>2618</v>
      </c>
    </row>
    <row r="55" spans="1:5" x14ac:dyDescent="0.25">
      <c r="A55" s="59" t="s">
        <v>114</v>
      </c>
      <c r="E55" s="58">
        <v>0</v>
      </c>
    </row>
    <row r="56" spans="1:5" x14ac:dyDescent="0.25">
      <c r="A56" s="59" t="s">
        <v>115</v>
      </c>
      <c r="E56" s="58">
        <v>0</v>
      </c>
    </row>
    <row r="57" spans="1:5" x14ac:dyDescent="0.25">
      <c r="A57" s="59" t="s">
        <v>116</v>
      </c>
      <c r="E57" s="58">
        <v>243686</v>
      </c>
    </row>
    <row r="58" spans="1:5" x14ac:dyDescent="0.25">
      <c r="A58" s="61" t="s">
        <v>117</v>
      </c>
    </row>
    <row r="59" spans="1:5" x14ac:dyDescent="0.25">
      <c r="A59" s="59" t="s">
        <v>118</v>
      </c>
      <c r="E59" s="58">
        <v>0</v>
      </c>
    </row>
    <row r="60" spans="1:5" x14ac:dyDescent="0.25">
      <c r="A60" s="59" t="s">
        <v>119</v>
      </c>
      <c r="E60" s="58">
        <v>0</v>
      </c>
    </row>
    <row r="61" spans="1:5" x14ac:dyDescent="0.25">
      <c r="A61" s="59" t="s">
        <v>120</v>
      </c>
      <c r="E61" s="58">
        <v>0</v>
      </c>
    </row>
    <row r="62" spans="1:5" x14ac:dyDescent="0.25">
      <c r="A62" s="59" t="s">
        <v>121</v>
      </c>
      <c r="E62" s="58">
        <v>268477</v>
      </c>
    </row>
    <row r="63" spans="1:5" x14ac:dyDescent="0.25">
      <c r="A63" s="59" t="s">
        <v>122</v>
      </c>
      <c r="E63" s="58">
        <v>4.5999999999999999E-2</v>
      </c>
    </row>
    <row r="64" spans="1:5" x14ac:dyDescent="0.25">
      <c r="A64" s="59" t="s">
        <v>123</v>
      </c>
      <c r="E64" s="58">
        <v>100922.954</v>
      </c>
    </row>
    <row r="65" spans="1:5" x14ac:dyDescent="0.25">
      <c r="A65" s="59" t="s">
        <v>124</v>
      </c>
      <c r="E65" s="58">
        <v>167554</v>
      </c>
    </row>
    <row r="66" spans="1:5" x14ac:dyDescent="0.25">
      <c r="A66" s="59" t="s">
        <v>125</v>
      </c>
      <c r="E66" s="58">
        <v>0</v>
      </c>
    </row>
    <row r="67" spans="1:5" x14ac:dyDescent="0.25">
      <c r="A67" s="59" t="s">
        <v>126</v>
      </c>
      <c r="E67" s="58">
        <v>268477</v>
      </c>
    </row>
    <row r="68" spans="1:5" x14ac:dyDescent="0.25">
      <c r="A68" s="59" t="s">
        <v>127</v>
      </c>
      <c r="E68" s="58">
        <v>0</v>
      </c>
    </row>
    <row r="69" spans="1:5" x14ac:dyDescent="0.25">
      <c r="A69" s="59" t="s">
        <v>128</v>
      </c>
      <c r="E69" s="58">
        <v>268477</v>
      </c>
    </row>
    <row r="70" spans="1:5" x14ac:dyDescent="0.25">
      <c r="A70" s="59" t="s">
        <v>129</v>
      </c>
      <c r="E70" s="58">
        <v>512163</v>
      </c>
    </row>
    <row r="71" spans="1:5" x14ac:dyDescent="0.25">
      <c r="A71" s="61"/>
    </row>
    <row r="72" spans="1:5" x14ac:dyDescent="0.25">
      <c r="A72" s="62" t="s">
        <v>130</v>
      </c>
    </row>
    <row r="73" spans="1:5" x14ac:dyDescent="0.25">
      <c r="A73" s="59" t="s">
        <v>131</v>
      </c>
      <c r="E73" s="58">
        <v>245122</v>
      </c>
    </row>
    <row r="74" spans="1:5" x14ac:dyDescent="0.25">
      <c r="A74" s="59" t="s">
        <v>132</v>
      </c>
      <c r="E74" s="58">
        <v>54114</v>
      </c>
    </row>
    <row r="75" spans="1:5" x14ac:dyDescent="0.25">
      <c r="A75" s="59" t="s">
        <v>133</v>
      </c>
      <c r="E75" s="58">
        <v>61575</v>
      </c>
    </row>
    <row r="76" spans="1:5" x14ac:dyDescent="0.25">
      <c r="A76" s="59" t="s">
        <v>134</v>
      </c>
      <c r="E76" s="58">
        <v>129433</v>
      </c>
    </row>
    <row r="77" spans="1:5" x14ac:dyDescent="0.25">
      <c r="A77" s="59" t="s">
        <v>135</v>
      </c>
      <c r="E77" s="58">
        <v>20000</v>
      </c>
    </row>
    <row r="78" spans="1:5" x14ac:dyDescent="0.25">
      <c r="A78" s="59" t="s">
        <v>136</v>
      </c>
      <c r="E78" s="58">
        <v>4800</v>
      </c>
    </row>
    <row r="79" spans="1:5" x14ac:dyDescent="0.25">
      <c r="A79" s="59" t="s">
        <v>137</v>
      </c>
      <c r="E79" s="59" t="s">
        <v>351</v>
      </c>
    </row>
    <row r="80" spans="1:5" x14ac:dyDescent="0.25">
      <c r="A80" s="59" t="s">
        <v>138</v>
      </c>
      <c r="E80" s="59" t="s">
        <v>351</v>
      </c>
    </row>
    <row r="81" spans="1:5" x14ac:dyDescent="0.25">
      <c r="A81" s="59" t="s">
        <v>139</v>
      </c>
      <c r="E81" s="58">
        <v>109433</v>
      </c>
    </row>
    <row r="82" spans="1:5" x14ac:dyDescent="0.25">
      <c r="A82" s="59" t="s">
        <v>140</v>
      </c>
      <c r="E82" s="58">
        <v>2983</v>
      </c>
    </row>
    <row r="83" spans="1:5" x14ac:dyDescent="0.25">
      <c r="A83" s="59" t="s">
        <v>141</v>
      </c>
      <c r="E83" s="58">
        <v>1337</v>
      </c>
    </row>
    <row r="84" spans="1:5" x14ac:dyDescent="0.25">
      <c r="A84" s="59" t="s">
        <v>142</v>
      </c>
      <c r="E84" s="58">
        <v>1337</v>
      </c>
    </row>
    <row r="85" spans="1:5" x14ac:dyDescent="0.25">
      <c r="A85" s="59" t="s">
        <v>143</v>
      </c>
      <c r="E85" s="59" t="s">
        <v>351</v>
      </c>
    </row>
    <row r="86" spans="1:5" x14ac:dyDescent="0.25">
      <c r="A86" s="59" t="s">
        <v>144</v>
      </c>
      <c r="E86" s="58">
        <v>0</v>
      </c>
    </row>
    <row r="87" spans="1:5" x14ac:dyDescent="0.25">
      <c r="A87" s="59" t="s">
        <v>145</v>
      </c>
      <c r="E87" s="58">
        <v>107787</v>
      </c>
    </row>
    <row r="88" spans="1:5" x14ac:dyDescent="0.25">
      <c r="A88" s="59" t="s">
        <v>146</v>
      </c>
      <c r="E88" s="58">
        <v>62886</v>
      </c>
    </row>
    <row r="89" spans="1:5" x14ac:dyDescent="0.25">
      <c r="A89" s="59" t="s">
        <v>147</v>
      </c>
      <c r="E89" s="58">
        <v>44901</v>
      </c>
    </row>
    <row r="90" spans="1:5" x14ac:dyDescent="0.25">
      <c r="A90" s="59" t="s">
        <v>148</v>
      </c>
      <c r="E90" s="58">
        <v>19651</v>
      </c>
    </row>
    <row r="91" spans="1:5" x14ac:dyDescent="0.25">
      <c r="A91" s="59" t="s">
        <v>149</v>
      </c>
      <c r="E91" s="58">
        <v>-4738</v>
      </c>
    </row>
    <row r="92" spans="1:5" x14ac:dyDescent="0.25">
      <c r="A92" s="59" t="s">
        <v>150</v>
      </c>
      <c r="E92" s="58">
        <v>-4791</v>
      </c>
    </row>
    <row r="93" spans="1:5" x14ac:dyDescent="0.25">
      <c r="A93" s="59" t="s">
        <v>151</v>
      </c>
      <c r="E93" s="58">
        <v>432</v>
      </c>
    </row>
    <row r="94" spans="1:5" x14ac:dyDescent="0.25">
      <c r="A94" s="59" t="s">
        <v>152</v>
      </c>
      <c r="E94" s="58">
        <v>-379</v>
      </c>
    </row>
    <row r="95" spans="1:5" x14ac:dyDescent="0.25">
      <c r="A95" s="59" t="s">
        <v>153</v>
      </c>
      <c r="E95" s="58">
        <v>12165</v>
      </c>
    </row>
    <row r="96" spans="1:5" x14ac:dyDescent="0.25">
      <c r="A96" s="59" t="s">
        <v>154</v>
      </c>
      <c r="E96" s="58">
        <v>9858</v>
      </c>
    </row>
    <row r="97" spans="1:5" x14ac:dyDescent="0.25">
      <c r="A97" s="59" t="s">
        <v>155</v>
      </c>
      <c r="E97" s="58">
        <v>2366</v>
      </c>
    </row>
    <row r="98" spans="1:5" x14ac:dyDescent="0.25">
      <c r="A98" s="59" t="s">
        <v>156</v>
      </c>
      <c r="E98" s="58">
        <v>0</v>
      </c>
    </row>
    <row r="99" spans="1:5" x14ac:dyDescent="0.25">
      <c r="A99" s="59" t="s">
        <v>157</v>
      </c>
      <c r="E99" s="58">
        <v>0</v>
      </c>
    </row>
    <row r="100" spans="1:5" x14ac:dyDescent="0.25">
      <c r="A100" s="59" t="s">
        <v>158</v>
      </c>
      <c r="E100" s="58">
        <v>88136</v>
      </c>
    </row>
    <row r="101" spans="1:5" x14ac:dyDescent="0.25">
      <c r="A101" s="59" t="s">
        <v>159</v>
      </c>
      <c r="E101" s="58">
        <v>0</v>
      </c>
    </row>
    <row r="102" spans="1:5" x14ac:dyDescent="0.25">
      <c r="A102" s="59" t="s">
        <v>160</v>
      </c>
      <c r="E102" s="58">
        <v>88136</v>
      </c>
    </row>
    <row r="103" spans="1:5" x14ac:dyDescent="0.25">
      <c r="A103" s="59" t="s">
        <v>161</v>
      </c>
      <c r="E103" s="58">
        <v>0</v>
      </c>
    </row>
    <row r="104" spans="1:5" x14ac:dyDescent="0.25">
      <c r="A104" s="59" t="s">
        <v>162</v>
      </c>
      <c r="E104" s="58">
        <v>88136</v>
      </c>
    </row>
    <row r="105" spans="1:5" x14ac:dyDescent="0.25">
      <c r="A105" s="59" t="s">
        <v>163</v>
      </c>
      <c r="E105" s="58">
        <v>0</v>
      </c>
    </row>
    <row r="106" spans="1:5" x14ac:dyDescent="0.25">
      <c r="A106" s="59" t="s">
        <v>164</v>
      </c>
      <c r="E106" s="58">
        <v>0</v>
      </c>
    </row>
    <row r="107" spans="1:5" x14ac:dyDescent="0.25">
      <c r="A107" s="59" t="s">
        <v>165</v>
      </c>
      <c r="E107" s="58">
        <v>0</v>
      </c>
    </row>
    <row r="108" spans="1:5" x14ac:dyDescent="0.25">
      <c r="A108" s="59" t="s">
        <v>166</v>
      </c>
      <c r="E108" s="58">
        <v>88136</v>
      </c>
    </row>
    <row r="109" spans="1:5" x14ac:dyDescent="0.25">
      <c r="A109" s="59" t="s">
        <v>167</v>
      </c>
      <c r="E109" s="58">
        <v>88136</v>
      </c>
    </row>
    <row r="110" spans="1:5" x14ac:dyDescent="0.25">
      <c r="A110" s="61"/>
    </row>
    <row r="111" spans="1:5" x14ac:dyDescent="0.25">
      <c r="A111" s="62" t="s">
        <v>168</v>
      </c>
    </row>
    <row r="112" spans="1:5" x14ac:dyDescent="0.25">
      <c r="A112" s="61" t="s">
        <v>169</v>
      </c>
    </row>
    <row r="113" spans="1:5" x14ac:dyDescent="0.25">
      <c r="A113" s="59" t="s">
        <v>158</v>
      </c>
      <c r="E113" s="58">
        <v>88136</v>
      </c>
    </row>
    <row r="114" spans="1:5" x14ac:dyDescent="0.25">
      <c r="A114" s="59" t="s">
        <v>135</v>
      </c>
      <c r="E114" s="58">
        <v>22287</v>
      </c>
    </row>
    <row r="115" spans="1:5" x14ac:dyDescent="0.25">
      <c r="A115" s="59" t="s">
        <v>163</v>
      </c>
      <c r="E115" s="58">
        <v>0</v>
      </c>
    </row>
    <row r="116" spans="1:5" x14ac:dyDescent="0.25">
      <c r="A116" s="59" t="s">
        <v>170</v>
      </c>
      <c r="E116" s="58">
        <v>-4738</v>
      </c>
    </row>
    <row r="117" spans="1:5" x14ac:dyDescent="0.25">
      <c r="A117" s="59" t="s">
        <v>171</v>
      </c>
      <c r="E117" s="59" t="s">
        <v>351</v>
      </c>
    </row>
    <row r="118" spans="1:5" x14ac:dyDescent="0.25">
      <c r="A118" s="59" t="s">
        <v>172</v>
      </c>
      <c r="E118" s="59" t="s">
        <v>351</v>
      </c>
    </row>
    <row r="119" spans="1:5" x14ac:dyDescent="0.25">
      <c r="A119" s="59" t="s">
        <v>173</v>
      </c>
      <c r="E119" s="58">
        <v>11039</v>
      </c>
    </row>
    <row r="120" spans="1:5" x14ac:dyDescent="0.25">
      <c r="A120" s="59" t="s">
        <v>174</v>
      </c>
      <c r="E120" s="58">
        <v>-7191</v>
      </c>
    </row>
    <row r="121" spans="1:5" x14ac:dyDescent="0.25">
      <c r="A121" s="59" t="s">
        <v>175</v>
      </c>
      <c r="E121" s="58">
        <v>1284</v>
      </c>
    </row>
    <row r="122" spans="1:5" x14ac:dyDescent="0.25">
      <c r="A122" s="59" t="s">
        <v>176</v>
      </c>
      <c r="E122" s="58">
        <v>3545</v>
      </c>
    </row>
    <row r="123" spans="1:5" x14ac:dyDescent="0.25">
      <c r="A123" s="59" t="s">
        <v>177</v>
      </c>
      <c r="E123" s="59" t="s">
        <v>351</v>
      </c>
    </row>
    <row r="124" spans="1:5" x14ac:dyDescent="0.25">
      <c r="A124" s="59" t="s">
        <v>178</v>
      </c>
      <c r="E124" s="58">
        <v>4186</v>
      </c>
    </row>
    <row r="125" spans="1:5" x14ac:dyDescent="0.25">
      <c r="A125" s="59" t="s">
        <v>179</v>
      </c>
      <c r="E125" s="58">
        <v>118548</v>
      </c>
    </row>
    <row r="126" spans="1:5" x14ac:dyDescent="0.25">
      <c r="A126" s="61" t="s">
        <v>180</v>
      </c>
    </row>
    <row r="127" spans="1:5" x14ac:dyDescent="0.25">
      <c r="A127" s="59" t="s">
        <v>181</v>
      </c>
      <c r="E127" s="58">
        <v>17732</v>
      </c>
    </row>
    <row r="128" spans="1:5" x14ac:dyDescent="0.25">
      <c r="A128" s="59" t="s">
        <v>182</v>
      </c>
      <c r="E128" s="58">
        <v>35669</v>
      </c>
    </row>
    <row r="129" spans="1:5" x14ac:dyDescent="0.25">
      <c r="A129" s="59" t="s">
        <v>183</v>
      </c>
      <c r="E129" s="59" t="s">
        <v>351</v>
      </c>
    </row>
    <row r="130" spans="1:5" x14ac:dyDescent="0.25">
      <c r="A130" s="59" t="s">
        <v>184</v>
      </c>
      <c r="E130" s="58">
        <v>44477</v>
      </c>
    </row>
    <row r="131" spans="1:5" x14ac:dyDescent="0.25">
      <c r="A131" s="59" t="s">
        <v>185</v>
      </c>
      <c r="E131" s="58">
        <v>0</v>
      </c>
    </row>
    <row r="132" spans="1:5" x14ac:dyDescent="0.25">
      <c r="A132" s="59" t="s">
        <v>186</v>
      </c>
      <c r="E132" s="59" t="s">
        <v>351</v>
      </c>
    </row>
    <row r="133" spans="1:5" x14ac:dyDescent="0.25">
      <c r="A133" s="59" t="s">
        <v>187</v>
      </c>
      <c r="E133" s="58">
        <v>-70430</v>
      </c>
    </row>
    <row r="134" spans="1:5" x14ac:dyDescent="0.25">
      <c r="A134" s="59" t="s">
        <v>188</v>
      </c>
      <c r="E134" s="58">
        <v>-96970</v>
      </c>
    </row>
    <row r="135" spans="1:5" x14ac:dyDescent="0.25">
      <c r="A135" s="61" t="s">
        <v>189</v>
      </c>
    </row>
    <row r="136" spans="1:5" x14ac:dyDescent="0.25">
      <c r="A136" s="59" t="s">
        <v>190</v>
      </c>
      <c r="E136" s="58">
        <v>2002</v>
      </c>
    </row>
    <row r="137" spans="1:5" x14ac:dyDescent="0.25">
      <c r="A137" s="59" t="s">
        <v>191</v>
      </c>
      <c r="E137" s="58">
        <v>17254</v>
      </c>
    </row>
    <row r="138" spans="1:5" x14ac:dyDescent="0.25">
      <c r="A138" s="59" t="s">
        <v>192</v>
      </c>
      <c r="E138" s="58">
        <v>21771</v>
      </c>
    </row>
    <row r="139" spans="1:5" x14ac:dyDescent="0.25">
      <c r="A139" s="59" t="s">
        <v>193</v>
      </c>
      <c r="E139" s="58">
        <v>24395</v>
      </c>
    </row>
    <row r="140" spans="1:5" x14ac:dyDescent="0.25">
      <c r="A140" s="59" t="s">
        <v>194</v>
      </c>
      <c r="E140" s="58">
        <v>29070</v>
      </c>
    </row>
    <row r="141" spans="1:5" x14ac:dyDescent="0.25">
      <c r="A141" s="59" t="s">
        <v>195</v>
      </c>
      <c r="E141" s="58">
        <v>5250</v>
      </c>
    </row>
    <row r="142" spans="1:5" x14ac:dyDescent="0.25">
      <c r="A142" s="59" t="s">
        <v>196</v>
      </c>
      <c r="E142" s="58">
        <v>-1309</v>
      </c>
    </row>
    <row r="143" spans="1:5" x14ac:dyDescent="0.25">
      <c r="A143" s="59" t="s">
        <v>197</v>
      </c>
      <c r="E143" s="58">
        <v>-37757</v>
      </c>
    </row>
    <row r="144" spans="1:5" x14ac:dyDescent="0.25">
      <c r="A144" s="59" t="s">
        <v>198</v>
      </c>
      <c r="E144" s="58">
        <v>-210</v>
      </c>
    </row>
    <row r="145" spans="1:5" x14ac:dyDescent="0.25">
      <c r="A145" s="59" t="s">
        <v>199</v>
      </c>
      <c r="E145" s="58">
        <v>-16389</v>
      </c>
    </row>
    <row r="146" spans="1:5" x14ac:dyDescent="0.25">
      <c r="A146" s="61" t="s">
        <v>200</v>
      </c>
    </row>
    <row r="147" spans="1:5" x14ac:dyDescent="0.25">
      <c r="A147" s="59" t="s">
        <v>201</v>
      </c>
      <c r="E147" s="58">
        <v>1700</v>
      </c>
    </row>
    <row r="148" spans="1:5" x14ac:dyDescent="0.25">
      <c r="A148" s="59" t="s">
        <v>202</v>
      </c>
      <c r="E148" s="58">
        <v>23400</v>
      </c>
    </row>
    <row r="149" spans="1:5" x14ac:dyDescent="0.25">
      <c r="A149" s="61"/>
    </row>
    <row r="150" spans="1:5" x14ac:dyDescent="0.25">
      <c r="A150" s="62" t="s">
        <v>203</v>
      </c>
    </row>
    <row r="151" spans="1:5" x14ac:dyDescent="0.25">
      <c r="A151" s="59" t="s">
        <v>204</v>
      </c>
      <c r="E151" s="59" t="s">
        <v>351</v>
      </c>
    </row>
    <row r="152" spans="1:5" x14ac:dyDescent="0.25">
      <c r="A152" s="59" t="s">
        <v>205</v>
      </c>
      <c r="E152" s="59" t="s">
        <v>351</v>
      </c>
    </row>
    <row r="153" spans="1:5" x14ac:dyDescent="0.25">
      <c r="A153" s="59" t="s">
        <v>206</v>
      </c>
      <c r="E153" s="58">
        <v>1</v>
      </c>
    </row>
    <row r="154" spans="1:5" x14ac:dyDescent="0.25">
      <c r="A154" s="59" t="s">
        <v>207</v>
      </c>
      <c r="E154" s="58">
        <v>1700</v>
      </c>
    </row>
    <row r="155" spans="1:5" x14ac:dyDescent="0.25">
      <c r="A155" s="59" t="s">
        <v>208</v>
      </c>
      <c r="E155" s="59" t="s">
        <v>351</v>
      </c>
    </row>
    <row r="156" spans="1:5" x14ac:dyDescent="0.25">
      <c r="A156" s="59" t="s">
        <v>209</v>
      </c>
      <c r="E156" s="59" t="s">
        <v>351</v>
      </c>
    </row>
    <row r="157" spans="1:5" x14ac:dyDescent="0.25">
      <c r="A157" s="59" t="s">
        <v>210</v>
      </c>
      <c r="E157" s="58">
        <v>81.346000000000004</v>
      </c>
    </row>
    <row r="158" spans="1:5" x14ac:dyDescent="0.25">
      <c r="A158" s="59" t="s">
        <v>211</v>
      </c>
      <c r="E158" s="58">
        <v>5112922701</v>
      </c>
    </row>
    <row r="159" spans="1:5" x14ac:dyDescent="0.25">
      <c r="A159" s="59" t="s">
        <v>212</v>
      </c>
      <c r="E159" s="59" t="s">
        <v>351</v>
      </c>
    </row>
    <row r="160" spans="1:5" x14ac:dyDescent="0.25">
      <c r="A160" s="59" t="s">
        <v>213</v>
      </c>
      <c r="E160" s="58">
        <v>0</v>
      </c>
    </row>
    <row r="161" spans="1:5" x14ac:dyDescent="0.25">
      <c r="A161" s="59" t="s">
        <v>214</v>
      </c>
      <c r="E161" s="58">
        <v>6021</v>
      </c>
    </row>
    <row r="162" spans="1:5" x14ac:dyDescent="0.25">
      <c r="A162" s="59" t="s">
        <v>215</v>
      </c>
      <c r="E162" s="58">
        <v>12287</v>
      </c>
    </row>
    <row r="163" spans="1:5" x14ac:dyDescent="0.25">
      <c r="A163" s="59" t="s">
        <v>216</v>
      </c>
      <c r="E163" s="58">
        <v>3026</v>
      </c>
    </row>
    <row r="164" spans="1:5" x14ac:dyDescent="0.25">
      <c r="A164" s="59" t="s">
        <v>217</v>
      </c>
      <c r="E164" s="58">
        <v>4514</v>
      </c>
    </row>
    <row r="165" spans="1:5" x14ac:dyDescent="0.25">
      <c r="A165" s="59" t="s">
        <v>218</v>
      </c>
      <c r="E165" s="59" t="s">
        <v>351</v>
      </c>
    </row>
    <row r="166" spans="1:5" x14ac:dyDescent="0.25">
      <c r="A166" s="59" t="s">
        <v>219</v>
      </c>
      <c r="E166" s="58">
        <v>24796</v>
      </c>
    </row>
    <row r="167" spans="1:5" x14ac:dyDescent="0.25">
      <c r="A167" s="59" t="s">
        <v>220</v>
      </c>
      <c r="E167" s="58">
        <v>0</v>
      </c>
    </row>
    <row r="168" spans="1:5" x14ac:dyDescent="0.25">
      <c r="A168" s="59" t="s">
        <v>221</v>
      </c>
      <c r="E168" s="58">
        <v>2.93</v>
      </c>
    </row>
    <row r="169" spans="1:5" x14ac:dyDescent="0.25">
      <c r="A169" s="59" t="s">
        <v>222</v>
      </c>
      <c r="E169" s="58">
        <v>22293</v>
      </c>
    </row>
    <row r="170" spans="1:5" x14ac:dyDescent="0.25">
      <c r="A170" s="59" t="s">
        <v>223</v>
      </c>
      <c r="E170" s="58">
        <v>0</v>
      </c>
    </row>
    <row r="171" spans="1:5" x14ac:dyDescent="0.25">
      <c r="A171" s="59" t="s">
        <v>224</v>
      </c>
      <c r="E171" s="58">
        <v>228</v>
      </c>
    </row>
    <row r="172" spans="1:5" x14ac:dyDescent="0.25">
      <c r="A172" s="59" t="s">
        <v>225</v>
      </c>
      <c r="E172" s="58">
        <v>512163</v>
      </c>
    </row>
    <row r="173" spans="1:5" x14ac:dyDescent="0.25">
      <c r="A173" s="59" t="s">
        <v>226</v>
      </c>
      <c r="E173" s="59" t="s">
        <v>351</v>
      </c>
    </row>
    <row r="174" spans="1:5" x14ac:dyDescent="0.25">
      <c r="A174" s="59" t="s">
        <v>227</v>
      </c>
      <c r="E174" s="58">
        <v>-244</v>
      </c>
    </row>
    <row r="175" spans="1:5" x14ac:dyDescent="0.25">
      <c r="A175" s="59" t="s">
        <v>228</v>
      </c>
      <c r="E175" s="58">
        <v>0</v>
      </c>
    </row>
    <row r="176" spans="1:5" x14ac:dyDescent="0.25">
      <c r="A176" s="59" t="s">
        <v>229</v>
      </c>
      <c r="E176" s="59" t="s">
        <v>351</v>
      </c>
    </row>
    <row r="177" spans="1:5" x14ac:dyDescent="0.25">
      <c r="A177" s="59" t="s">
        <v>230</v>
      </c>
      <c r="E177" s="59" t="s">
        <v>351</v>
      </c>
    </row>
    <row r="178" spans="1:5" x14ac:dyDescent="0.25">
      <c r="A178" s="59" t="s">
        <v>231</v>
      </c>
      <c r="E178" s="58">
        <v>0</v>
      </c>
    </row>
    <row r="179" spans="1:5" x14ac:dyDescent="0.25">
      <c r="A179" s="59" t="s">
        <v>232</v>
      </c>
      <c r="E179" s="59" t="s">
        <v>351</v>
      </c>
    </row>
    <row r="180" spans="1:5" x14ac:dyDescent="0.25">
      <c r="A180" s="59" t="s">
        <v>233</v>
      </c>
      <c r="E180" s="58">
        <v>0</v>
      </c>
    </row>
    <row r="181" spans="1:5" x14ac:dyDescent="0.25">
      <c r="A181" s="59" t="s">
        <v>234</v>
      </c>
      <c r="E181" s="59" t="s">
        <v>351</v>
      </c>
    </row>
    <row r="182" spans="1:5" x14ac:dyDescent="0.25">
      <c r="A182" s="59" t="s">
        <v>235</v>
      </c>
      <c r="E182" s="58">
        <v>0</v>
      </c>
    </row>
    <row r="183" spans="1:5" x14ac:dyDescent="0.25">
      <c r="A183" s="59" t="s">
        <v>236</v>
      </c>
      <c r="E183" s="58">
        <v>0</v>
      </c>
    </row>
    <row r="184" spans="1:5" x14ac:dyDescent="0.25">
      <c r="A184" s="59" t="s">
        <v>237</v>
      </c>
      <c r="E184" s="58">
        <v>0</v>
      </c>
    </row>
    <row r="185" spans="1:5" x14ac:dyDescent="0.25">
      <c r="A185" s="59" t="s">
        <v>238</v>
      </c>
      <c r="E185" s="58">
        <v>28555</v>
      </c>
    </row>
    <row r="186" spans="1:5" x14ac:dyDescent="0.25">
      <c r="A186" s="59" t="s">
        <v>239</v>
      </c>
      <c r="E186" s="58">
        <v>421.5</v>
      </c>
    </row>
    <row r="187" spans="1:5" x14ac:dyDescent="0.25">
      <c r="A187" s="59" t="s">
        <v>240</v>
      </c>
      <c r="E187" s="58">
        <v>468.35</v>
      </c>
    </row>
    <row r="188" spans="1:5" x14ac:dyDescent="0.25">
      <c r="A188" s="59" t="s">
        <v>241</v>
      </c>
      <c r="E188" s="58">
        <v>366.5</v>
      </c>
    </row>
    <row r="189" spans="1:5" x14ac:dyDescent="0.25">
      <c r="A189" s="59" t="s">
        <v>242</v>
      </c>
      <c r="E189" s="58">
        <v>446.95</v>
      </c>
    </row>
    <row r="190" spans="1:5" x14ac:dyDescent="0.25">
      <c r="A190" s="59" t="s">
        <v>243</v>
      </c>
      <c r="E190" s="58">
        <v>830</v>
      </c>
    </row>
    <row r="191" spans="1:5" x14ac:dyDescent="0.25">
      <c r="A191" s="59" t="s">
        <v>244</v>
      </c>
      <c r="E191" s="58">
        <v>4124</v>
      </c>
    </row>
    <row r="192" spans="1:5" x14ac:dyDescent="0.25">
      <c r="A192" s="59" t="s">
        <v>245</v>
      </c>
      <c r="E192" s="58">
        <v>3549</v>
      </c>
    </row>
    <row r="193" spans="1:5" x14ac:dyDescent="0.25">
      <c r="A193" s="59" t="s">
        <v>246</v>
      </c>
      <c r="E193" s="58">
        <v>2981</v>
      </c>
    </row>
    <row r="194" spans="1:5" x14ac:dyDescent="0.25">
      <c r="A194" s="59" t="s">
        <v>247</v>
      </c>
      <c r="E194" s="58">
        <v>2405</v>
      </c>
    </row>
    <row r="195" spans="1:5" x14ac:dyDescent="0.25">
      <c r="A195" s="59" t="s">
        <v>248</v>
      </c>
      <c r="E195" s="58">
        <v>1924</v>
      </c>
    </row>
    <row r="196" spans="1:5" x14ac:dyDescent="0.25">
      <c r="A196" s="59" t="s">
        <v>249</v>
      </c>
      <c r="E196" s="58">
        <v>3555</v>
      </c>
    </row>
    <row r="197" spans="1:5" x14ac:dyDescent="0.25">
      <c r="A197" s="59" t="s">
        <v>250</v>
      </c>
      <c r="E197" s="59" t="s">
        <v>351</v>
      </c>
    </row>
    <row r="198" spans="1:5" x14ac:dyDescent="0.25">
      <c r="A198" s="59" t="s">
        <v>251</v>
      </c>
      <c r="E198" s="58">
        <v>29510</v>
      </c>
    </row>
    <row r="199" spans="1:5" x14ac:dyDescent="0.25">
      <c r="A199" s="59" t="s">
        <v>252</v>
      </c>
      <c r="E199" s="58">
        <v>3975</v>
      </c>
    </row>
    <row r="200" spans="1:5" x14ac:dyDescent="0.25">
      <c r="A200" s="59" t="s">
        <v>253</v>
      </c>
      <c r="E200" s="58">
        <v>0</v>
      </c>
    </row>
    <row r="201" spans="1:5" x14ac:dyDescent="0.25">
      <c r="A201" s="59" t="s">
        <v>254</v>
      </c>
      <c r="E201" s="58">
        <v>0</v>
      </c>
    </row>
    <row r="202" spans="1:5" x14ac:dyDescent="0.25">
      <c r="A202" s="59" t="s">
        <v>255</v>
      </c>
      <c r="E202" s="58">
        <v>0</v>
      </c>
    </row>
    <row r="203" spans="1:5" x14ac:dyDescent="0.25">
      <c r="A203" s="61"/>
    </row>
    <row r="204" spans="1:5" x14ac:dyDescent="0.25">
      <c r="A204" s="62" t="s">
        <v>256</v>
      </c>
    </row>
    <row r="205" spans="1:5" x14ac:dyDescent="0.25">
      <c r="A205" s="59" t="s">
        <v>257</v>
      </c>
      <c r="E205" s="58">
        <v>56924</v>
      </c>
    </row>
    <row r="206" spans="1:5" x14ac:dyDescent="0.25">
      <c r="A206" s="59" t="s">
        <v>258</v>
      </c>
      <c r="E206" s="58">
        <v>0</v>
      </c>
    </row>
    <row r="207" spans="1:5" x14ac:dyDescent="0.25">
      <c r="A207" s="59" t="s">
        <v>259</v>
      </c>
      <c r="E207" s="58">
        <v>10500</v>
      </c>
    </row>
    <row r="208" spans="1:5" x14ac:dyDescent="0.25">
      <c r="A208" s="59" t="s">
        <v>260</v>
      </c>
      <c r="E208" s="58">
        <v>67424</v>
      </c>
    </row>
    <row r="209" spans="1:5" x14ac:dyDescent="0.25">
      <c r="A209" s="59" t="s">
        <v>261</v>
      </c>
      <c r="E209" s="58">
        <v>394</v>
      </c>
    </row>
    <row r="210" spans="1:5" x14ac:dyDescent="0.25">
      <c r="A210" s="59" t="s">
        <v>262</v>
      </c>
      <c r="E210" s="58">
        <v>7</v>
      </c>
    </row>
    <row r="211" spans="1:5" x14ac:dyDescent="0.25">
      <c r="A211" s="59" t="s">
        <v>263</v>
      </c>
      <c r="E211" s="58">
        <v>845</v>
      </c>
    </row>
    <row r="212" spans="1:5" x14ac:dyDescent="0.25">
      <c r="A212" s="59" t="s">
        <v>264</v>
      </c>
      <c r="E212" s="58">
        <v>0</v>
      </c>
    </row>
    <row r="213" spans="1:5" x14ac:dyDescent="0.25">
      <c r="A213" s="59" t="s">
        <v>75</v>
      </c>
      <c r="E213" s="58">
        <v>1246</v>
      </c>
    </row>
    <row r="214" spans="1:5" x14ac:dyDescent="0.25">
      <c r="A214" s="59" t="s">
        <v>265</v>
      </c>
      <c r="E214" s="58">
        <v>0</v>
      </c>
    </row>
    <row r="215" spans="1:5" x14ac:dyDescent="0.25">
      <c r="A215" s="59" t="s">
        <v>266</v>
      </c>
      <c r="E215" s="58">
        <v>0</v>
      </c>
    </row>
    <row r="216" spans="1:5" x14ac:dyDescent="0.25">
      <c r="A216" s="59" t="s">
        <v>267</v>
      </c>
      <c r="E216" s="58">
        <v>0</v>
      </c>
    </row>
    <row r="217" spans="1:5" x14ac:dyDescent="0.25">
      <c r="A217" s="59" t="s">
        <v>268</v>
      </c>
      <c r="E217" s="58">
        <v>0</v>
      </c>
    </row>
    <row r="218" spans="1:5" x14ac:dyDescent="0.25">
      <c r="A218" s="59" t="s">
        <v>269</v>
      </c>
      <c r="E218" s="58">
        <v>0</v>
      </c>
    </row>
    <row r="219" spans="1:5" x14ac:dyDescent="0.25">
      <c r="A219" s="59" t="s">
        <v>270</v>
      </c>
      <c r="E219" s="58">
        <v>0</v>
      </c>
    </row>
    <row r="220" spans="1:5" x14ac:dyDescent="0.25">
      <c r="A220" s="59" t="s">
        <v>271</v>
      </c>
      <c r="E220" s="58">
        <v>58185</v>
      </c>
    </row>
    <row r="221" spans="1:5" x14ac:dyDescent="0.25">
      <c r="A221" s="59" t="s">
        <v>272</v>
      </c>
      <c r="E221" s="58">
        <v>24796</v>
      </c>
    </row>
    <row r="222" spans="1:5" x14ac:dyDescent="0.25">
      <c r="A222" s="59" t="s">
        <v>273</v>
      </c>
      <c r="E222" s="58">
        <v>82981</v>
      </c>
    </row>
    <row r="223" spans="1:5" x14ac:dyDescent="0.25">
      <c r="A223" s="61" t="s">
        <v>274</v>
      </c>
    </row>
    <row r="224" spans="1:5" x14ac:dyDescent="0.25">
      <c r="A224" s="59" t="s">
        <v>275</v>
      </c>
      <c r="E224" s="59" t="s">
        <v>351</v>
      </c>
    </row>
    <row r="225" spans="1:5" x14ac:dyDescent="0.25">
      <c r="A225" s="59" t="s">
        <v>184</v>
      </c>
      <c r="E225" s="58">
        <v>44477</v>
      </c>
    </row>
    <row r="226" spans="1:5" x14ac:dyDescent="0.25">
      <c r="A226" s="59" t="s">
        <v>276</v>
      </c>
      <c r="E226" s="59" t="s">
        <v>351</v>
      </c>
    </row>
    <row r="227" spans="1:5" x14ac:dyDescent="0.25">
      <c r="A227" s="59" t="s">
        <v>277</v>
      </c>
      <c r="E227" s="59" t="s">
        <v>351</v>
      </c>
    </row>
    <row r="228" spans="1:5" x14ac:dyDescent="0.25">
      <c r="A228" s="59" t="s">
        <v>278</v>
      </c>
      <c r="E228" s="58">
        <v>230973</v>
      </c>
    </row>
    <row r="229" spans="1:5" x14ac:dyDescent="0.25">
      <c r="A229" s="61" t="s">
        <v>279</v>
      </c>
    </row>
    <row r="230" spans="1:5" x14ac:dyDescent="0.25">
      <c r="A230" s="59" t="s">
        <v>275</v>
      </c>
      <c r="E230" s="59" t="s">
        <v>351</v>
      </c>
    </row>
    <row r="231" spans="1:5" x14ac:dyDescent="0.25">
      <c r="A231" s="59" t="s">
        <v>280</v>
      </c>
      <c r="E231" s="59" t="s">
        <v>351</v>
      </c>
    </row>
    <row r="232" spans="1:5" x14ac:dyDescent="0.25">
      <c r="A232" s="59" t="s">
        <v>281</v>
      </c>
      <c r="E232" s="59" t="s">
        <v>351</v>
      </c>
    </row>
    <row r="233" spans="1:5" x14ac:dyDescent="0.25">
      <c r="A233" s="59" t="s">
        <v>276</v>
      </c>
      <c r="E233" s="59" t="s">
        <v>351</v>
      </c>
    </row>
    <row r="234" spans="1:5" x14ac:dyDescent="0.25">
      <c r="A234" s="59" t="s">
        <v>277</v>
      </c>
      <c r="E234" s="59" t="s">
        <v>351</v>
      </c>
    </row>
    <row r="235" spans="1:5" x14ac:dyDescent="0.25">
      <c r="A235" s="59" t="s">
        <v>278</v>
      </c>
      <c r="E235" s="58">
        <v>76421</v>
      </c>
    </row>
    <row r="236" spans="1:5" x14ac:dyDescent="0.25">
      <c r="A236" s="59" t="s">
        <v>282</v>
      </c>
      <c r="E236" s="58">
        <v>-4791</v>
      </c>
    </row>
    <row r="237" spans="1:5" x14ac:dyDescent="0.25">
      <c r="A237" s="59" t="s">
        <v>283</v>
      </c>
      <c r="E237" s="58">
        <v>432</v>
      </c>
    </row>
    <row r="238" spans="1:5" x14ac:dyDescent="0.25">
      <c r="A238" s="59" t="s">
        <v>284</v>
      </c>
      <c r="E238" s="58">
        <v>-379</v>
      </c>
    </row>
    <row r="239" spans="1:5" x14ac:dyDescent="0.25">
      <c r="A239" s="59" t="s">
        <v>285</v>
      </c>
      <c r="E239" s="58">
        <v>12165</v>
      </c>
    </row>
    <row r="240" spans="1:5" x14ac:dyDescent="0.25">
      <c r="A240" s="59" t="s">
        <v>286</v>
      </c>
      <c r="E240" s="58">
        <v>9858</v>
      </c>
    </row>
    <row r="241" spans="1:5" x14ac:dyDescent="0.25">
      <c r="A241" s="59" t="s">
        <v>287</v>
      </c>
      <c r="E241" s="58">
        <v>2366</v>
      </c>
    </row>
    <row r="242" spans="1:5" x14ac:dyDescent="0.25">
      <c r="A242" s="59" t="s">
        <v>288</v>
      </c>
      <c r="E242" s="58">
        <v>0</v>
      </c>
    </row>
    <row r="243" spans="1:5" x14ac:dyDescent="0.25">
      <c r="A243" s="59" t="s">
        <v>148</v>
      </c>
      <c r="E243" s="58">
        <v>19651</v>
      </c>
    </row>
    <row r="244" spans="1:5" x14ac:dyDescent="0.25">
      <c r="A244" s="61" t="s">
        <v>289</v>
      </c>
    </row>
    <row r="245" spans="1:5" x14ac:dyDescent="0.25">
      <c r="A245" s="59" t="s">
        <v>290</v>
      </c>
      <c r="E245" s="59" t="s">
        <v>351</v>
      </c>
    </row>
    <row r="246" spans="1:5" x14ac:dyDescent="0.25">
      <c r="A246" s="59" t="s">
        <v>291</v>
      </c>
      <c r="E246" s="59" t="s">
        <v>351</v>
      </c>
    </row>
    <row r="247" spans="1:5" x14ac:dyDescent="0.25">
      <c r="A247" s="59" t="s">
        <v>292</v>
      </c>
      <c r="E247" s="59" t="s">
        <v>351</v>
      </c>
    </row>
    <row r="248" spans="1:5" x14ac:dyDescent="0.25">
      <c r="A248" s="59" t="s">
        <v>293</v>
      </c>
      <c r="E248" s="59" t="s">
        <v>351</v>
      </c>
    </row>
    <row r="249" spans="1:5" x14ac:dyDescent="0.25">
      <c r="A249" s="59" t="s">
        <v>294</v>
      </c>
      <c r="E249" s="59" t="s">
        <v>351</v>
      </c>
    </row>
    <row r="250" spans="1:5" x14ac:dyDescent="0.25">
      <c r="A250" s="61"/>
    </row>
    <row r="251" spans="1:5" x14ac:dyDescent="0.25">
      <c r="A251" s="62" t="s">
        <v>295</v>
      </c>
    </row>
    <row r="252" spans="1:5" x14ac:dyDescent="0.25">
      <c r="A252" s="59" t="s">
        <v>296</v>
      </c>
      <c r="E252" s="58">
        <v>75543</v>
      </c>
    </row>
    <row r="253" spans="1:5" x14ac:dyDescent="0.25">
      <c r="A253" s="59" t="s">
        <v>260</v>
      </c>
      <c r="E253" s="58">
        <v>67424</v>
      </c>
    </row>
    <row r="254" spans="1:5" x14ac:dyDescent="0.25">
      <c r="A254" s="59" t="s">
        <v>75</v>
      </c>
      <c r="E254" s="58">
        <v>1246</v>
      </c>
    </row>
    <row r="255" spans="1:5" x14ac:dyDescent="0.25">
      <c r="A255" s="59" t="s">
        <v>297</v>
      </c>
      <c r="E255" s="58">
        <v>0</v>
      </c>
    </row>
    <row r="256" spans="1:5" x14ac:dyDescent="0.25">
      <c r="A256" s="59" t="s">
        <v>80</v>
      </c>
      <c r="E256" s="58">
        <v>15521</v>
      </c>
    </row>
    <row r="257" spans="1:5" x14ac:dyDescent="0.25">
      <c r="A257" s="59" t="s">
        <v>83</v>
      </c>
      <c r="E257" s="58">
        <v>159734</v>
      </c>
    </row>
    <row r="258" spans="1:5" x14ac:dyDescent="0.25">
      <c r="A258" s="59" t="s">
        <v>298</v>
      </c>
      <c r="E258" s="58">
        <v>230973</v>
      </c>
    </row>
    <row r="259" spans="1:5" x14ac:dyDescent="0.25">
      <c r="A259" s="59" t="s">
        <v>299</v>
      </c>
      <c r="E259" s="58">
        <v>76421</v>
      </c>
    </row>
    <row r="260" spans="1:5" x14ac:dyDescent="0.25">
      <c r="A260" s="59" t="s">
        <v>300</v>
      </c>
      <c r="E260" s="58">
        <v>154552</v>
      </c>
    </row>
    <row r="261" spans="1:5" x14ac:dyDescent="0.25">
      <c r="A261" s="59" t="s">
        <v>301</v>
      </c>
      <c r="E261" s="58">
        <v>6000</v>
      </c>
    </row>
    <row r="262" spans="1:5" x14ac:dyDescent="0.25">
      <c r="A262" s="59" t="s">
        <v>302</v>
      </c>
      <c r="E262" s="58">
        <v>13500</v>
      </c>
    </row>
    <row r="263" spans="1:5" x14ac:dyDescent="0.25">
      <c r="A263" s="59" t="s">
        <v>89</v>
      </c>
      <c r="E263" s="58">
        <v>146817</v>
      </c>
    </row>
    <row r="264" spans="1:5" x14ac:dyDescent="0.25">
      <c r="A264" s="59" t="s">
        <v>303</v>
      </c>
      <c r="E264" s="58">
        <v>0</v>
      </c>
    </row>
    <row r="265" spans="1:5" x14ac:dyDescent="0.25">
      <c r="A265" s="59" t="s">
        <v>90</v>
      </c>
      <c r="E265" s="58">
        <v>31560</v>
      </c>
    </row>
    <row r="266" spans="1:5" x14ac:dyDescent="0.25">
      <c r="A266" s="59" t="s">
        <v>304</v>
      </c>
      <c r="E266" s="58">
        <v>512163</v>
      </c>
    </row>
    <row r="267" spans="1:5" x14ac:dyDescent="0.25">
      <c r="A267" s="59" t="s">
        <v>97</v>
      </c>
      <c r="E267" s="58">
        <v>21996</v>
      </c>
    </row>
    <row r="268" spans="1:5" x14ac:dyDescent="0.25">
      <c r="A268" s="59" t="s">
        <v>305</v>
      </c>
      <c r="E268" s="58">
        <v>6693</v>
      </c>
    </row>
    <row r="269" spans="1:5" x14ac:dyDescent="0.25">
      <c r="A269" s="59" t="s">
        <v>306</v>
      </c>
      <c r="E269" s="58">
        <v>12564</v>
      </c>
    </row>
    <row r="270" spans="1:5" x14ac:dyDescent="0.25">
      <c r="A270" s="59" t="s">
        <v>307</v>
      </c>
      <c r="E270" s="58">
        <v>5017</v>
      </c>
    </row>
    <row r="271" spans="1:5" x14ac:dyDescent="0.25">
      <c r="A271" s="59" t="s">
        <v>308</v>
      </c>
      <c r="E271" s="58">
        <v>8178</v>
      </c>
    </row>
    <row r="272" spans="1:5" x14ac:dyDescent="0.25">
      <c r="A272" s="59" t="s">
        <v>309</v>
      </c>
      <c r="E272" s="58">
        <v>83402</v>
      </c>
    </row>
    <row r="273" spans="1:5" x14ac:dyDescent="0.25">
      <c r="A273" s="59" t="s">
        <v>310</v>
      </c>
      <c r="E273" s="58">
        <v>125286</v>
      </c>
    </row>
    <row r="274" spans="1:5" x14ac:dyDescent="0.25">
      <c r="A274" s="59" t="s">
        <v>311</v>
      </c>
      <c r="E274" s="58">
        <v>82981</v>
      </c>
    </row>
    <row r="275" spans="1:5" x14ac:dyDescent="0.25">
      <c r="A275" s="59" t="s">
        <v>312</v>
      </c>
      <c r="E275" s="58">
        <v>2618</v>
      </c>
    </row>
    <row r="276" spans="1:5" x14ac:dyDescent="0.25">
      <c r="A276" s="59" t="s">
        <v>231</v>
      </c>
      <c r="E276" s="58">
        <v>0</v>
      </c>
    </row>
    <row r="277" spans="1:5" x14ac:dyDescent="0.25">
      <c r="A277" s="59" t="s">
        <v>111</v>
      </c>
      <c r="E277" s="58">
        <v>32801</v>
      </c>
    </row>
    <row r="278" spans="1:5" x14ac:dyDescent="0.25">
      <c r="A278" s="59" t="s">
        <v>313</v>
      </c>
      <c r="E278" s="58">
        <v>243686</v>
      </c>
    </row>
    <row r="279" spans="1:5" x14ac:dyDescent="0.25">
      <c r="A279" s="59" t="s">
        <v>115</v>
      </c>
      <c r="E279" s="58">
        <v>0</v>
      </c>
    </row>
    <row r="280" spans="1:5" x14ac:dyDescent="0.25">
      <c r="A280" s="59" t="s">
        <v>291</v>
      </c>
      <c r="E280" s="58">
        <v>0</v>
      </c>
    </row>
    <row r="281" spans="1:5" x14ac:dyDescent="0.25">
      <c r="A281" s="59" t="s">
        <v>314</v>
      </c>
      <c r="E281" s="58">
        <v>4.5999999999999999E-2</v>
      </c>
    </row>
    <row r="282" spans="1:5" x14ac:dyDescent="0.25">
      <c r="A282" s="59" t="s">
        <v>315</v>
      </c>
      <c r="E282" s="58">
        <v>100922.954</v>
      </c>
    </row>
    <row r="283" spans="1:5" x14ac:dyDescent="0.25">
      <c r="A283" s="59" t="s">
        <v>316</v>
      </c>
      <c r="E283" s="58">
        <v>167554</v>
      </c>
    </row>
    <row r="284" spans="1:5" x14ac:dyDescent="0.25">
      <c r="A284" s="59" t="s">
        <v>317</v>
      </c>
      <c r="E284" s="58">
        <v>0</v>
      </c>
    </row>
    <row r="285" spans="1:5" x14ac:dyDescent="0.25">
      <c r="A285" s="59" t="s">
        <v>126</v>
      </c>
      <c r="E285" s="58">
        <v>268477</v>
      </c>
    </row>
    <row r="286" spans="1:5" x14ac:dyDescent="0.25">
      <c r="A286" s="59" t="s">
        <v>127</v>
      </c>
      <c r="E286" s="58">
        <v>0</v>
      </c>
    </row>
    <row r="287" spans="1:5" x14ac:dyDescent="0.25">
      <c r="A287" s="59" t="s">
        <v>318</v>
      </c>
      <c r="E287" s="58">
        <v>268477</v>
      </c>
    </row>
    <row r="288" spans="1:5" x14ac:dyDescent="0.25">
      <c r="A288" s="59" t="s">
        <v>131</v>
      </c>
      <c r="E288" s="58">
        <v>245122</v>
      </c>
    </row>
    <row r="289" spans="1:5" x14ac:dyDescent="0.25">
      <c r="A289" s="59" t="s">
        <v>132</v>
      </c>
      <c r="E289" s="58">
        <v>54114</v>
      </c>
    </row>
    <row r="290" spans="1:5" x14ac:dyDescent="0.25">
      <c r="A290" s="59" t="s">
        <v>319</v>
      </c>
      <c r="E290" s="58">
        <v>0</v>
      </c>
    </row>
    <row r="291" spans="1:5" x14ac:dyDescent="0.25">
      <c r="A291" s="59" t="s">
        <v>320</v>
      </c>
      <c r="E291" s="58">
        <v>61575</v>
      </c>
    </row>
    <row r="292" spans="1:5" x14ac:dyDescent="0.25">
      <c r="A292" s="59" t="s">
        <v>134</v>
      </c>
      <c r="E292" s="58">
        <v>129433</v>
      </c>
    </row>
    <row r="293" spans="1:5" x14ac:dyDescent="0.25">
      <c r="A293" s="59" t="s">
        <v>321</v>
      </c>
      <c r="E293" s="58">
        <v>20000</v>
      </c>
    </row>
    <row r="294" spans="1:5" x14ac:dyDescent="0.25">
      <c r="A294" s="59" t="s">
        <v>139</v>
      </c>
      <c r="E294" s="58">
        <v>109433</v>
      </c>
    </row>
    <row r="295" spans="1:5" x14ac:dyDescent="0.25">
      <c r="A295" s="59" t="s">
        <v>140</v>
      </c>
      <c r="E295" s="58">
        <v>2983</v>
      </c>
    </row>
    <row r="296" spans="1:5" x14ac:dyDescent="0.25">
      <c r="A296" s="59" t="s">
        <v>322</v>
      </c>
      <c r="E296" s="58">
        <v>1337</v>
      </c>
    </row>
    <row r="297" spans="1:5" x14ac:dyDescent="0.25">
      <c r="A297" s="59" t="s">
        <v>144</v>
      </c>
      <c r="E297" s="58">
        <v>0</v>
      </c>
    </row>
    <row r="298" spans="1:5" x14ac:dyDescent="0.25">
      <c r="A298" s="59" t="s">
        <v>145</v>
      </c>
      <c r="E298" s="58">
        <v>107787</v>
      </c>
    </row>
    <row r="299" spans="1:5" x14ac:dyDescent="0.25">
      <c r="A299" s="59" t="s">
        <v>148</v>
      </c>
      <c r="E299" s="58">
        <v>19651</v>
      </c>
    </row>
    <row r="300" spans="1:5" x14ac:dyDescent="0.25">
      <c r="A300" s="59" t="s">
        <v>157</v>
      </c>
      <c r="E300" s="58">
        <v>0</v>
      </c>
    </row>
    <row r="301" spans="1:5" x14ac:dyDescent="0.25">
      <c r="A301" s="59" t="s">
        <v>323</v>
      </c>
      <c r="E301" s="58">
        <v>88136</v>
      </c>
    </row>
    <row r="302" spans="1:5" x14ac:dyDescent="0.25">
      <c r="A302" s="59" t="s">
        <v>324</v>
      </c>
      <c r="E302" s="58">
        <v>0</v>
      </c>
    </row>
    <row r="303" spans="1:5" x14ac:dyDescent="0.25">
      <c r="A303" s="59" t="s">
        <v>325</v>
      </c>
      <c r="E303" s="58">
        <v>0</v>
      </c>
    </row>
    <row r="304" spans="1:5" x14ac:dyDescent="0.25">
      <c r="A304" s="59" t="s">
        <v>167</v>
      </c>
      <c r="E304" s="58">
        <v>88136</v>
      </c>
    </row>
    <row r="305" spans="1:5" x14ac:dyDescent="0.25">
      <c r="A305" s="59" t="s">
        <v>326</v>
      </c>
      <c r="E305" s="58">
        <v>0</v>
      </c>
    </row>
    <row r="306" spans="1:5" x14ac:dyDescent="0.25">
      <c r="A306" s="59" t="s">
        <v>327</v>
      </c>
      <c r="E306" s="58">
        <v>11.86</v>
      </c>
    </row>
    <row r="307" spans="1:5" x14ac:dyDescent="0.25">
      <c r="A307" s="59" t="s">
        <v>328</v>
      </c>
      <c r="E307" s="58">
        <v>11.86</v>
      </c>
    </row>
    <row r="308" spans="1:5" x14ac:dyDescent="0.25">
      <c r="A308" s="59" t="s">
        <v>329</v>
      </c>
      <c r="E308" s="58">
        <v>11.8</v>
      </c>
    </row>
    <row r="309" spans="1:5" x14ac:dyDescent="0.25">
      <c r="A309" s="59" t="s">
        <v>330</v>
      </c>
      <c r="E309" s="58">
        <v>11.8</v>
      </c>
    </row>
    <row r="310" spans="1:5" x14ac:dyDescent="0.25">
      <c r="A310" s="59" t="s">
        <v>331</v>
      </c>
      <c r="E310" s="58">
        <v>7431</v>
      </c>
    </row>
    <row r="311" spans="1:5" x14ac:dyDescent="0.25">
      <c r="A311" s="61" t="s">
        <v>168</v>
      </c>
    </row>
    <row r="312" spans="1:5" x14ac:dyDescent="0.25">
      <c r="A312" s="59" t="s">
        <v>332</v>
      </c>
      <c r="E312" s="58">
        <v>7469</v>
      </c>
    </row>
    <row r="313" spans="1:5" x14ac:dyDescent="0.25">
      <c r="A313" s="63" t="s">
        <v>333</v>
      </c>
      <c r="B313" s="64"/>
      <c r="C313" s="64"/>
      <c r="D313" s="64"/>
      <c r="E313" s="65">
        <v>7434</v>
      </c>
    </row>
    <row r="314" spans="1:5" x14ac:dyDescent="0.25">
      <c r="A314" s="59" t="s">
        <v>179</v>
      </c>
      <c r="E314" s="58">
        <v>118548</v>
      </c>
    </row>
    <row r="315" spans="1:5" x14ac:dyDescent="0.25">
      <c r="A315" s="59" t="s">
        <v>184</v>
      </c>
      <c r="E315" s="58">
        <v>44477</v>
      </c>
    </row>
    <row r="316" spans="1:5" x14ac:dyDescent="0.25">
      <c r="A316" s="59" t="s">
        <v>334</v>
      </c>
      <c r="E316" s="58">
        <v>0</v>
      </c>
    </row>
    <row r="317" spans="1:5" x14ac:dyDescent="0.25">
      <c r="A317" s="59" t="s">
        <v>186</v>
      </c>
      <c r="E317" s="59" t="s">
        <v>351</v>
      </c>
    </row>
    <row r="318" spans="1:5" x14ac:dyDescent="0.25">
      <c r="A318" s="59" t="s">
        <v>335</v>
      </c>
      <c r="E318" s="58">
        <v>-96970</v>
      </c>
    </row>
    <row r="319" spans="1:5" x14ac:dyDescent="0.25">
      <c r="A319" s="59" t="s">
        <v>192</v>
      </c>
      <c r="E319" s="58">
        <v>21771</v>
      </c>
    </row>
    <row r="320" spans="1:5" x14ac:dyDescent="0.25">
      <c r="A320" s="61" t="s">
        <v>336</v>
      </c>
    </row>
    <row r="321" spans="1:5" x14ac:dyDescent="0.25">
      <c r="A321" s="59" t="s">
        <v>337</v>
      </c>
      <c r="E321" s="58">
        <v>1700</v>
      </c>
    </row>
    <row r="322" spans="1:5" x14ac:dyDescent="0.25">
      <c r="A322" s="59" t="s">
        <v>202</v>
      </c>
      <c r="E322" s="58">
        <v>23400</v>
      </c>
    </row>
    <row r="323" spans="1:5" x14ac:dyDescent="0.25">
      <c r="A323" s="59" t="s">
        <v>338</v>
      </c>
      <c r="E323" s="59" t="s">
        <v>351</v>
      </c>
    </row>
    <row r="324" spans="1:5" x14ac:dyDescent="0.25">
      <c r="A324" s="59" t="s">
        <v>339</v>
      </c>
      <c r="E324" s="58">
        <v>5250</v>
      </c>
    </row>
    <row r="325" spans="1:5" x14ac:dyDescent="0.25">
      <c r="A325" s="59" t="s">
        <v>340</v>
      </c>
      <c r="E325" s="59" t="s">
        <v>351</v>
      </c>
    </row>
    <row r="326" spans="1:5" x14ac:dyDescent="0.25">
      <c r="A326" s="59" t="s">
        <v>206</v>
      </c>
      <c r="E326" s="58">
        <v>1</v>
      </c>
    </row>
    <row r="327" spans="1:5" x14ac:dyDescent="0.25">
      <c r="A327" s="59" t="s">
        <v>207</v>
      </c>
      <c r="E327" s="58">
        <v>1700</v>
      </c>
    </row>
    <row r="328" spans="1:5" x14ac:dyDescent="0.25">
      <c r="A328" s="59" t="s">
        <v>221</v>
      </c>
      <c r="E328" s="58">
        <v>2.93</v>
      </c>
    </row>
    <row r="329" spans="1:5" x14ac:dyDescent="0.25">
      <c r="A329" s="59" t="s">
        <v>222</v>
      </c>
      <c r="E329" s="58">
        <v>22293</v>
      </c>
    </row>
    <row r="330" spans="1:5" x14ac:dyDescent="0.25">
      <c r="A330" s="59" t="s">
        <v>223</v>
      </c>
      <c r="E330" s="58">
        <v>0</v>
      </c>
    </row>
    <row r="331" spans="1:5" x14ac:dyDescent="0.25">
      <c r="A331" s="59" t="s">
        <v>236</v>
      </c>
      <c r="E331" s="58">
        <v>0</v>
      </c>
    </row>
    <row r="332" spans="1:5" x14ac:dyDescent="0.25">
      <c r="A332" s="59" t="s">
        <v>237</v>
      </c>
      <c r="E332" s="58">
        <v>0</v>
      </c>
    </row>
    <row r="333" spans="1:5" x14ac:dyDescent="0.25">
      <c r="A333" s="59" t="s">
        <v>239</v>
      </c>
      <c r="E333" s="58">
        <v>421.5</v>
      </c>
    </row>
    <row r="334" spans="1:5" x14ac:dyDescent="0.25">
      <c r="A334" s="59" t="s">
        <v>242</v>
      </c>
      <c r="E334" s="58">
        <v>446.95</v>
      </c>
    </row>
    <row r="335" spans="1:5" x14ac:dyDescent="0.25">
      <c r="A335" s="59" t="s">
        <v>243</v>
      </c>
      <c r="E335" s="58">
        <v>830</v>
      </c>
    </row>
    <row r="336" spans="1:5" x14ac:dyDescent="0.25">
      <c r="A336" s="59" t="s">
        <v>249</v>
      </c>
      <c r="E336" s="58">
        <v>3555</v>
      </c>
    </row>
    <row r="337" spans="1:5" x14ac:dyDescent="0.25">
      <c r="A337" s="59" t="s">
        <v>251</v>
      </c>
      <c r="E337" s="58">
        <v>29510</v>
      </c>
    </row>
  </sheetData>
  <mergeCells count="1">
    <mergeCell ref="F3:M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E84FE-6E47-4CE7-B2B2-33AB5E29A1CA}">
  <dimension ref="A1:O23"/>
  <sheetViews>
    <sheetView zoomScale="175" zoomScaleNormal="175" workbookViewId="0"/>
  </sheetViews>
  <sheetFormatPr defaultRowHeight="15" x14ac:dyDescent="0.25"/>
  <cols>
    <col min="2" max="2" width="34" bestFit="1" customWidth="1"/>
    <col min="3" max="3" width="15.7109375" customWidth="1"/>
    <col min="12" max="12" width="10.42578125" bestFit="1" customWidth="1"/>
  </cols>
  <sheetData>
    <row r="1" spans="1:15" x14ac:dyDescent="0.25">
      <c r="A1" s="11" t="s">
        <v>21</v>
      </c>
      <c r="B1" s="1"/>
      <c r="C1" s="1"/>
      <c r="D1" s="1"/>
      <c r="E1" s="1"/>
    </row>
    <row r="2" spans="1:15" ht="15.75" x14ac:dyDescent="0.25">
      <c r="A2" s="10" t="s">
        <v>0</v>
      </c>
      <c r="B2" s="4" t="s">
        <v>29</v>
      </c>
      <c r="C2" s="12">
        <f>'Dell''s cost of capital'!C2</f>
        <v>3.7190000000000001E-2</v>
      </c>
      <c r="D2" s="1"/>
      <c r="E2" s="1"/>
    </row>
    <row r="3" spans="1:15" ht="15.75" x14ac:dyDescent="0.25">
      <c r="A3" s="10" t="s">
        <v>1</v>
      </c>
      <c r="B3" s="4" t="s">
        <v>5</v>
      </c>
      <c r="C3" s="2">
        <v>1.07</v>
      </c>
      <c r="D3" s="1"/>
      <c r="E3" s="1"/>
    </row>
    <row r="4" spans="1:15" ht="15.75" x14ac:dyDescent="0.25">
      <c r="A4" s="10" t="s">
        <v>2</v>
      </c>
      <c r="B4" s="4" t="s">
        <v>9</v>
      </c>
      <c r="C4" s="12">
        <v>0.04</v>
      </c>
      <c r="D4" s="1"/>
      <c r="E4" s="1"/>
    </row>
    <row r="5" spans="1:15" ht="15.75" x14ac:dyDescent="0.25">
      <c r="A5" s="9"/>
      <c r="B5" s="4" t="s">
        <v>16</v>
      </c>
      <c r="C5" s="5">
        <f>C2+C3*C4</f>
        <v>7.9990000000000006E-2</v>
      </c>
      <c r="D5" s="1"/>
      <c r="E5" s="1"/>
    </row>
    <row r="6" spans="1:15" ht="15.75" x14ac:dyDescent="0.25">
      <c r="A6" s="7"/>
      <c r="B6" s="14"/>
      <c r="C6" s="1"/>
      <c r="D6" s="1"/>
      <c r="E6" s="1"/>
    </row>
    <row r="7" spans="1:15" ht="15.75" x14ac:dyDescent="0.25">
      <c r="A7" s="11" t="s">
        <v>22</v>
      </c>
      <c r="B7" s="4" t="s">
        <v>33</v>
      </c>
      <c r="C7" s="13" t="s">
        <v>355</v>
      </c>
      <c r="D7" s="1"/>
      <c r="E7" s="1"/>
    </row>
    <row r="8" spans="1:15" ht="15.75" x14ac:dyDescent="0.25">
      <c r="A8" s="10"/>
      <c r="B8" s="4" t="s">
        <v>15</v>
      </c>
      <c r="C8" s="13">
        <v>0.05</v>
      </c>
      <c r="D8" s="1"/>
      <c r="E8" s="1"/>
    </row>
    <row r="9" spans="1:15" ht="15.75" x14ac:dyDescent="0.25">
      <c r="A9" s="9"/>
      <c r="B9" s="4" t="s">
        <v>17</v>
      </c>
      <c r="C9" s="5">
        <f>C2+C8*C4</f>
        <v>3.9190000000000003E-2</v>
      </c>
      <c r="D9" s="1"/>
      <c r="E9" s="1"/>
    </row>
    <row r="10" spans="1:15" ht="15.75" x14ac:dyDescent="0.25">
      <c r="A10" s="7"/>
      <c r="B10" s="14"/>
      <c r="C10" s="1"/>
      <c r="D10" s="1"/>
      <c r="E10" s="1"/>
      <c r="F10" s="73" t="s">
        <v>367</v>
      </c>
      <c r="G10" s="73"/>
      <c r="H10" s="73"/>
      <c r="I10" s="73"/>
      <c r="J10" s="73"/>
      <c r="K10" s="73"/>
      <c r="L10" s="73"/>
      <c r="M10" s="73"/>
      <c r="N10" s="73"/>
      <c r="O10" s="73"/>
    </row>
    <row r="11" spans="1:15" ht="15.75" x14ac:dyDescent="0.25">
      <c r="A11" s="11" t="s">
        <v>24</v>
      </c>
      <c r="B11" s="14"/>
      <c r="C11" s="3" t="s">
        <v>23</v>
      </c>
      <c r="D11" s="1"/>
      <c r="E11" s="1"/>
      <c r="F11" t="s">
        <v>363</v>
      </c>
      <c r="H11" t="s">
        <v>356</v>
      </c>
      <c r="J11" t="s">
        <v>357</v>
      </c>
      <c r="L11" t="s">
        <v>358</v>
      </c>
      <c r="N11" t="s">
        <v>365</v>
      </c>
    </row>
    <row r="12" spans="1:15" ht="15.75" x14ac:dyDescent="0.25">
      <c r="A12" s="9"/>
      <c r="B12" s="4" t="s">
        <v>18</v>
      </c>
      <c r="C12" s="15">
        <f>'Your Company''s Financials'!E7</f>
        <v>75543</v>
      </c>
      <c r="D12" s="1" t="s">
        <v>8</v>
      </c>
      <c r="E12" s="1"/>
      <c r="F12" s="26">
        <f>C13+C14</f>
        <v>97852</v>
      </c>
      <c r="H12">
        <f>C19/L12</f>
        <v>0.96926187319675172</v>
      </c>
      <c r="J12">
        <f>F12/L12</f>
        <v>3.0738126803248257E-2</v>
      </c>
      <c r="L12" s="26">
        <f>C19+F12</f>
        <v>3183408.04</v>
      </c>
      <c r="N12" s="60">
        <f>H12*C5+J12*C9*(1-C22)</f>
        <v>7.8398588813390069E-2</v>
      </c>
      <c r="O12" s="60"/>
    </row>
    <row r="13" spans="1:15" ht="15.75" x14ac:dyDescent="0.25">
      <c r="A13" s="9"/>
      <c r="B13" s="4" t="s">
        <v>19</v>
      </c>
      <c r="C13" s="15">
        <f>'Your Company''s Financials'!E34</f>
        <v>14871</v>
      </c>
      <c r="D13" s="1" t="s">
        <v>8</v>
      </c>
      <c r="E13" s="1"/>
    </row>
    <row r="14" spans="1:15" ht="15.75" x14ac:dyDescent="0.25">
      <c r="A14" s="9"/>
      <c r="B14" s="4" t="s">
        <v>20</v>
      </c>
      <c r="C14" s="15">
        <f>'Your Company''s Financials'!E43</f>
        <v>82981</v>
      </c>
      <c r="D14" s="1" t="s">
        <v>8</v>
      </c>
      <c r="E14" s="1"/>
      <c r="F14" t="s">
        <v>361</v>
      </c>
      <c r="J14" t="s">
        <v>359</v>
      </c>
      <c r="L14" t="s">
        <v>364</v>
      </c>
    </row>
    <row r="15" spans="1:15" ht="15.75" x14ac:dyDescent="0.25">
      <c r="A15" s="9"/>
      <c r="B15" s="14" t="s">
        <v>3</v>
      </c>
      <c r="C15" s="17">
        <f>C13+C14-C12</f>
        <v>22309</v>
      </c>
      <c r="D15" s="1" t="s">
        <v>8</v>
      </c>
      <c r="E15" s="1"/>
      <c r="F15" t="s">
        <v>360</v>
      </c>
      <c r="J15">
        <f>F12/C19</f>
        <v>3.1712922640679049E-2</v>
      </c>
      <c r="L15">
        <f>C15/C19</f>
        <v>7.2301393041624999E-3</v>
      </c>
    </row>
    <row r="16" spans="1:15" ht="15.75" x14ac:dyDescent="0.25">
      <c r="A16" s="7"/>
      <c r="B16" s="4"/>
      <c r="C16" s="1"/>
      <c r="D16" s="1"/>
      <c r="E16" s="1"/>
    </row>
    <row r="17" spans="1:6" ht="15.75" x14ac:dyDescent="0.25">
      <c r="A17" s="11" t="s">
        <v>25</v>
      </c>
      <c r="B17" s="14" t="s">
        <v>12</v>
      </c>
      <c r="C17" s="15">
        <v>415.06</v>
      </c>
      <c r="D17" s="1" t="s">
        <v>13</v>
      </c>
      <c r="E17" s="1"/>
    </row>
    <row r="18" spans="1:6" ht="15.75" x14ac:dyDescent="0.25">
      <c r="A18" s="10"/>
      <c r="B18" s="4" t="s">
        <v>10</v>
      </c>
      <c r="C18" s="16">
        <f>'Your Company''s Financials'!E313</f>
        <v>7434</v>
      </c>
      <c r="D18" s="1" t="s">
        <v>11</v>
      </c>
      <c r="E18" s="1" t="s">
        <v>14</v>
      </c>
    </row>
    <row r="19" spans="1:6" ht="15.75" x14ac:dyDescent="0.25">
      <c r="A19" s="10"/>
      <c r="B19" s="14" t="s">
        <v>6</v>
      </c>
      <c r="C19" s="17">
        <f>C18*C17</f>
        <v>3085556.04</v>
      </c>
      <c r="D19" s="1" t="s">
        <v>8</v>
      </c>
      <c r="E19" s="1"/>
    </row>
    <row r="20" spans="1:6" ht="15.75" x14ac:dyDescent="0.25">
      <c r="A20" s="19" t="s">
        <v>26</v>
      </c>
      <c r="B20" s="14" t="s">
        <v>7</v>
      </c>
      <c r="C20" s="17">
        <f>C19+C15</f>
        <v>3107865.04</v>
      </c>
      <c r="D20" s="1" t="s">
        <v>8</v>
      </c>
      <c r="E20" s="1"/>
      <c r="F20" t="s">
        <v>362</v>
      </c>
    </row>
    <row r="21" spans="1:6" ht="15.75" x14ac:dyDescent="0.25">
      <c r="A21" s="8"/>
      <c r="B21" s="14"/>
      <c r="C21" s="6"/>
      <c r="D21" s="1"/>
      <c r="E21" s="1"/>
    </row>
    <row r="22" spans="1:6" ht="15.75" x14ac:dyDescent="0.25">
      <c r="A22" s="19" t="s">
        <v>27</v>
      </c>
      <c r="B22" s="14" t="s">
        <v>28</v>
      </c>
      <c r="C22" s="20">
        <v>0.28000000000000003</v>
      </c>
      <c r="D22" s="1"/>
      <c r="E22" s="1"/>
    </row>
    <row r="23" spans="1:6" ht="15.75" x14ac:dyDescent="0.25">
      <c r="A23" s="10"/>
      <c r="B23" s="14" t="s">
        <v>4</v>
      </c>
      <c r="C23" s="70">
        <f>(C19/C20)*C5+(C15/C20)*C9*(1-C22)</f>
        <v>7.96183595639018E-2</v>
      </c>
      <c r="F23" t="s">
        <v>366</v>
      </c>
    </row>
  </sheetData>
  <mergeCells count="1">
    <mergeCell ref="F10:O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F8D9-9BDD-4A54-B0BC-40AE13E85994}">
  <dimension ref="A1:L84"/>
  <sheetViews>
    <sheetView zoomScale="145" zoomScaleNormal="145" workbookViewId="0"/>
  </sheetViews>
  <sheetFormatPr defaultColWidth="10.28515625" defaultRowHeight="15" x14ac:dyDescent="0.25"/>
  <cols>
    <col min="1" max="1" width="39" style="28" customWidth="1"/>
    <col min="2" max="3" width="9.85546875" style="28" customWidth="1"/>
    <col min="4" max="8" width="11.28515625" style="28" customWidth="1"/>
    <col min="9" max="9" width="9.85546875" style="28" customWidth="1"/>
    <col min="10" max="256" width="10.28515625" style="28"/>
    <col min="257" max="257" width="39" style="28" customWidth="1"/>
    <col min="258" max="259" width="9.85546875" style="28" customWidth="1"/>
    <col min="260" max="264" width="11.28515625" style="28" customWidth="1"/>
    <col min="265" max="265" width="9.85546875" style="28" customWidth="1"/>
    <col min="266" max="512" width="10.28515625" style="28"/>
    <col min="513" max="513" width="39" style="28" customWidth="1"/>
    <col min="514" max="515" width="9.85546875" style="28" customWidth="1"/>
    <col min="516" max="520" width="11.28515625" style="28" customWidth="1"/>
    <col min="521" max="521" width="9.85546875" style="28" customWidth="1"/>
    <col min="522" max="768" width="10.28515625" style="28"/>
    <col min="769" max="769" width="39" style="28" customWidth="1"/>
    <col min="770" max="771" width="9.85546875" style="28" customWidth="1"/>
    <col min="772" max="776" width="11.28515625" style="28" customWidth="1"/>
    <col min="777" max="777" width="9.85546875" style="28" customWidth="1"/>
    <col min="778" max="1024" width="10.28515625" style="28"/>
    <col min="1025" max="1025" width="39" style="28" customWidth="1"/>
    <col min="1026" max="1027" width="9.85546875" style="28" customWidth="1"/>
    <col min="1028" max="1032" width="11.28515625" style="28" customWidth="1"/>
    <col min="1033" max="1033" width="9.85546875" style="28" customWidth="1"/>
    <col min="1034" max="1280" width="10.28515625" style="28"/>
    <col min="1281" max="1281" width="39" style="28" customWidth="1"/>
    <col min="1282" max="1283" width="9.85546875" style="28" customWidth="1"/>
    <col min="1284" max="1288" width="11.28515625" style="28" customWidth="1"/>
    <col min="1289" max="1289" width="9.85546875" style="28" customWidth="1"/>
    <col min="1290" max="1536" width="10.28515625" style="28"/>
    <col min="1537" max="1537" width="39" style="28" customWidth="1"/>
    <col min="1538" max="1539" width="9.85546875" style="28" customWidth="1"/>
    <col min="1540" max="1544" width="11.28515625" style="28" customWidth="1"/>
    <col min="1545" max="1545" width="9.85546875" style="28" customWidth="1"/>
    <col min="1546" max="1792" width="10.28515625" style="28"/>
    <col min="1793" max="1793" width="39" style="28" customWidth="1"/>
    <col min="1794" max="1795" width="9.85546875" style="28" customWidth="1"/>
    <col min="1796" max="1800" width="11.28515625" style="28" customWidth="1"/>
    <col min="1801" max="1801" width="9.85546875" style="28" customWidth="1"/>
    <col min="1802" max="2048" width="10.28515625" style="28"/>
    <col min="2049" max="2049" width="39" style="28" customWidth="1"/>
    <col min="2050" max="2051" width="9.85546875" style="28" customWidth="1"/>
    <col min="2052" max="2056" width="11.28515625" style="28" customWidth="1"/>
    <col min="2057" max="2057" width="9.85546875" style="28" customWidth="1"/>
    <col min="2058" max="2304" width="10.28515625" style="28"/>
    <col min="2305" max="2305" width="39" style="28" customWidth="1"/>
    <col min="2306" max="2307" width="9.85546875" style="28" customWidth="1"/>
    <col min="2308" max="2312" width="11.28515625" style="28" customWidth="1"/>
    <col min="2313" max="2313" width="9.85546875" style="28" customWidth="1"/>
    <col min="2314" max="2560" width="10.28515625" style="28"/>
    <col min="2561" max="2561" width="39" style="28" customWidth="1"/>
    <col min="2562" max="2563" width="9.85546875" style="28" customWidth="1"/>
    <col min="2564" max="2568" width="11.28515625" style="28" customWidth="1"/>
    <col min="2569" max="2569" width="9.85546875" style="28" customWidth="1"/>
    <col min="2570" max="2816" width="10.28515625" style="28"/>
    <col min="2817" max="2817" width="39" style="28" customWidth="1"/>
    <col min="2818" max="2819" width="9.85546875" style="28" customWidth="1"/>
    <col min="2820" max="2824" width="11.28515625" style="28" customWidth="1"/>
    <col min="2825" max="2825" width="9.85546875" style="28" customWidth="1"/>
    <col min="2826" max="3072" width="10.28515625" style="28"/>
    <col min="3073" max="3073" width="39" style="28" customWidth="1"/>
    <col min="3074" max="3075" width="9.85546875" style="28" customWidth="1"/>
    <col min="3076" max="3080" width="11.28515625" style="28" customWidth="1"/>
    <col min="3081" max="3081" width="9.85546875" style="28" customWidth="1"/>
    <col min="3082" max="3328" width="10.28515625" style="28"/>
    <col min="3329" max="3329" width="39" style="28" customWidth="1"/>
    <col min="3330" max="3331" width="9.85546875" style="28" customWidth="1"/>
    <col min="3332" max="3336" width="11.28515625" style="28" customWidth="1"/>
    <col min="3337" max="3337" width="9.85546875" style="28" customWidth="1"/>
    <col min="3338" max="3584" width="10.28515625" style="28"/>
    <col min="3585" max="3585" width="39" style="28" customWidth="1"/>
    <col min="3586" max="3587" width="9.85546875" style="28" customWidth="1"/>
    <col min="3588" max="3592" width="11.28515625" style="28" customWidth="1"/>
    <col min="3593" max="3593" width="9.85546875" style="28" customWidth="1"/>
    <col min="3594" max="3840" width="10.28515625" style="28"/>
    <col min="3841" max="3841" width="39" style="28" customWidth="1"/>
    <col min="3842" max="3843" width="9.85546875" style="28" customWidth="1"/>
    <col min="3844" max="3848" width="11.28515625" style="28" customWidth="1"/>
    <col min="3849" max="3849" width="9.85546875" style="28" customWidth="1"/>
    <col min="3850" max="4096" width="10.28515625" style="28"/>
    <col min="4097" max="4097" width="39" style="28" customWidth="1"/>
    <col min="4098" max="4099" width="9.85546875" style="28" customWidth="1"/>
    <col min="4100" max="4104" width="11.28515625" style="28" customWidth="1"/>
    <col min="4105" max="4105" width="9.85546875" style="28" customWidth="1"/>
    <col min="4106" max="4352" width="10.28515625" style="28"/>
    <col min="4353" max="4353" width="39" style="28" customWidth="1"/>
    <col min="4354" max="4355" width="9.85546875" style="28" customWidth="1"/>
    <col min="4356" max="4360" width="11.28515625" style="28" customWidth="1"/>
    <col min="4361" max="4361" width="9.85546875" style="28" customWidth="1"/>
    <col min="4362" max="4608" width="10.28515625" style="28"/>
    <col min="4609" max="4609" width="39" style="28" customWidth="1"/>
    <col min="4610" max="4611" width="9.85546875" style="28" customWidth="1"/>
    <col min="4612" max="4616" width="11.28515625" style="28" customWidth="1"/>
    <col min="4617" max="4617" width="9.85546875" style="28" customWidth="1"/>
    <col min="4618" max="4864" width="10.28515625" style="28"/>
    <col min="4865" max="4865" width="39" style="28" customWidth="1"/>
    <col min="4866" max="4867" width="9.85546875" style="28" customWidth="1"/>
    <col min="4868" max="4872" width="11.28515625" style="28" customWidth="1"/>
    <col min="4873" max="4873" width="9.85546875" style="28" customWidth="1"/>
    <col min="4874" max="5120" width="10.28515625" style="28"/>
    <col min="5121" max="5121" width="39" style="28" customWidth="1"/>
    <col min="5122" max="5123" width="9.85546875" style="28" customWidth="1"/>
    <col min="5124" max="5128" width="11.28515625" style="28" customWidth="1"/>
    <col min="5129" max="5129" width="9.85546875" style="28" customWidth="1"/>
    <col min="5130" max="5376" width="10.28515625" style="28"/>
    <col min="5377" max="5377" width="39" style="28" customWidth="1"/>
    <col min="5378" max="5379" width="9.85546875" style="28" customWidth="1"/>
    <col min="5380" max="5384" width="11.28515625" style="28" customWidth="1"/>
    <col min="5385" max="5385" width="9.85546875" style="28" customWidth="1"/>
    <col min="5386" max="5632" width="10.28515625" style="28"/>
    <col min="5633" max="5633" width="39" style="28" customWidth="1"/>
    <col min="5634" max="5635" width="9.85546875" style="28" customWidth="1"/>
    <col min="5636" max="5640" width="11.28515625" style="28" customWidth="1"/>
    <col min="5641" max="5641" width="9.85546875" style="28" customWidth="1"/>
    <col min="5642" max="5888" width="10.28515625" style="28"/>
    <col min="5889" max="5889" width="39" style="28" customWidth="1"/>
    <col min="5890" max="5891" width="9.85546875" style="28" customWidth="1"/>
    <col min="5892" max="5896" width="11.28515625" style="28" customWidth="1"/>
    <col min="5897" max="5897" width="9.85546875" style="28" customWidth="1"/>
    <col min="5898" max="6144" width="10.28515625" style="28"/>
    <col min="6145" max="6145" width="39" style="28" customWidth="1"/>
    <col min="6146" max="6147" width="9.85546875" style="28" customWidth="1"/>
    <col min="6148" max="6152" width="11.28515625" style="28" customWidth="1"/>
    <col min="6153" max="6153" width="9.85546875" style="28" customWidth="1"/>
    <col min="6154" max="6400" width="10.28515625" style="28"/>
    <col min="6401" max="6401" width="39" style="28" customWidth="1"/>
    <col min="6402" max="6403" width="9.85546875" style="28" customWidth="1"/>
    <col min="6404" max="6408" width="11.28515625" style="28" customWidth="1"/>
    <col min="6409" max="6409" width="9.85546875" style="28" customWidth="1"/>
    <col min="6410" max="6656" width="10.28515625" style="28"/>
    <col min="6657" max="6657" width="39" style="28" customWidth="1"/>
    <col min="6658" max="6659" width="9.85546875" style="28" customWidth="1"/>
    <col min="6660" max="6664" width="11.28515625" style="28" customWidth="1"/>
    <col min="6665" max="6665" width="9.85546875" style="28" customWidth="1"/>
    <col min="6666" max="6912" width="10.28515625" style="28"/>
    <col min="6913" max="6913" width="39" style="28" customWidth="1"/>
    <col min="6914" max="6915" width="9.85546875" style="28" customWidth="1"/>
    <col min="6916" max="6920" width="11.28515625" style="28" customWidth="1"/>
    <col min="6921" max="6921" width="9.85546875" style="28" customWidth="1"/>
    <col min="6922" max="7168" width="10.28515625" style="28"/>
    <col min="7169" max="7169" width="39" style="28" customWidth="1"/>
    <col min="7170" max="7171" width="9.85546875" style="28" customWidth="1"/>
    <col min="7172" max="7176" width="11.28515625" style="28" customWidth="1"/>
    <col min="7177" max="7177" width="9.85546875" style="28" customWidth="1"/>
    <col min="7178" max="7424" width="10.28515625" style="28"/>
    <col min="7425" max="7425" width="39" style="28" customWidth="1"/>
    <col min="7426" max="7427" width="9.85546875" style="28" customWidth="1"/>
    <col min="7428" max="7432" width="11.28515625" style="28" customWidth="1"/>
    <col min="7433" max="7433" width="9.85546875" style="28" customWidth="1"/>
    <col min="7434" max="7680" width="10.28515625" style="28"/>
    <col min="7681" max="7681" width="39" style="28" customWidth="1"/>
    <col min="7682" max="7683" width="9.85546875" style="28" customWidth="1"/>
    <col min="7684" max="7688" width="11.28515625" style="28" customWidth="1"/>
    <col min="7689" max="7689" width="9.85546875" style="28" customWidth="1"/>
    <col min="7690" max="7936" width="10.28515625" style="28"/>
    <col min="7937" max="7937" width="39" style="28" customWidth="1"/>
    <col min="7938" max="7939" width="9.85546875" style="28" customWidth="1"/>
    <col min="7940" max="7944" width="11.28515625" style="28" customWidth="1"/>
    <col min="7945" max="7945" width="9.85546875" style="28" customWidth="1"/>
    <col min="7946" max="8192" width="10.28515625" style="28"/>
    <col min="8193" max="8193" width="39" style="28" customWidth="1"/>
    <col min="8194" max="8195" width="9.85546875" style="28" customWidth="1"/>
    <col min="8196" max="8200" width="11.28515625" style="28" customWidth="1"/>
    <col min="8201" max="8201" width="9.85546875" style="28" customWidth="1"/>
    <col min="8202" max="8448" width="10.28515625" style="28"/>
    <col min="8449" max="8449" width="39" style="28" customWidth="1"/>
    <col min="8450" max="8451" width="9.85546875" style="28" customWidth="1"/>
    <col min="8452" max="8456" width="11.28515625" style="28" customWidth="1"/>
    <col min="8457" max="8457" width="9.85546875" style="28" customWidth="1"/>
    <col min="8458" max="8704" width="10.28515625" style="28"/>
    <col min="8705" max="8705" width="39" style="28" customWidth="1"/>
    <col min="8706" max="8707" width="9.85546875" style="28" customWidth="1"/>
    <col min="8708" max="8712" width="11.28515625" style="28" customWidth="1"/>
    <col min="8713" max="8713" width="9.85546875" style="28" customWidth="1"/>
    <col min="8714" max="8960" width="10.28515625" style="28"/>
    <col min="8961" max="8961" width="39" style="28" customWidth="1"/>
    <col min="8962" max="8963" width="9.85546875" style="28" customWidth="1"/>
    <col min="8964" max="8968" width="11.28515625" style="28" customWidth="1"/>
    <col min="8969" max="8969" width="9.85546875" style="28" customWidth="1"/>
    <col min="8970" max="9216" width="10.28515625" style="28"/>
    <col min="9217" max="9217" width="39" style="28" customWidth="1"/>
    <col min="9218" max="9219" width="9.85546875" style="28" customWidth="1"/>
    <col min="9220" max="9224" width="11.28515625" style="28" customWidth="1"/>
    <col min="9225" max="9225" width="9.85546875" style="28" customWidth="1"/>
    <col min="9226" max="9472" width="10.28515625" style="28"/>
    <col min="9473" max="9473" width="39" style="28" customWidth="1"/>
    <col min="9474" max="9475" width="9.85546875" style="28" customWidth="1"/>
    <col min="9476" max="9480" width="11.28515625" style="28" customWidth="1"/>
    <col min="9481" max="9481" width="9.85546875" style="28" customWidth="1"/>
    <col min="9482" max="9728" width="10.28515625" style="28"/>
    <col min="9729" max="9729" width="39" style="28" customWidth="1"/>
    <col min="9730" max="9731" width="9.85546875" style="28" customWidth="1"/>
    <col min="9732" max="9736" width="11.28515625" style="28" customWidth="1"/>
    <col min="9737" max="9737" width="9.85546875" style="28" customWidth="1"/>
    <col min="9738" max="9984" width="10.28515625" style="28"/>
    <col min="9985" max="9985" width="39" style="28" customWidth="1"/>
    <col min="9986" max="9987" width="9.85546875" style="28" customWidth="1"/>
    <col min="9988" max="9992" width="11.28515625" style="28" customWidth="1"/>
    <col min="9993" max="9993" width="9.85546875" style="28" customWidth="1"/>
    <col min="9994" max="10240" width="10.28515625" style="28"/>
    <col min="10241" max="10241" width="39" style="28" customWidth="1"/>
    <col min="10242" max="10243" width="9.85546875" style="28" customWidth="1"/>
    <col min="10244" max="10248" width="11.28515625" style="28" customWidth="1"/>
    <col min="10249" max="10249" width="9.85546875" style="28" customWidth="1"/>
    <col min="10250" max="10496" width="10.28515625" style="28"/>
    <col min="10497" max="10497" width="39" style="28" customWidth="1"/>
    <col min="10498" max="10499" width="9.85546875" style="28" customWidth="1"/>
    <col min="10500" max="10504" width="11.28515625" style="28" customWidth="1"/>
    <col min="10505" max="10505" width="9.85546875" style="28" customWidth="1"/>
    <col min="10506" max="10752" width="10.28515625" style="28"/>
    <col min="10753" max="10753" width="39" style="28" customWidth="1"/>
    <col min="10754" max="10755" width="9.85546875" style="28" customWidth="1"/>
    <col min="10756" max="10760" width="11.28515625" style="28" customWidth="1"/>
    <col min="10761" max="10761" width="9.85546875" style="28" customWidth="1"/>
    <col min="10762" max="11008" width="10.28515625" style="28"/>
    <col min="11009" max="11009" width="39" style="28" customWidth="1"/>
    <col min="11010" max="11011" width="9.85546875" style="28" customWidth="1"/>
    <col min="11012" max="11016" width="11.28515625" style="28" customWidth="1"/>
    <col min="11017" max="11017" width="9.85546875" style="28" customWidth="1"/>
    <col min="11018" max="11264" width="10.28515625" style="28"/>
    <col min="11265" max="11265" width="39" style="28" customWidth="1"/>
    <col min="11266" max="11267" width="9.85546875" style="28" customWidth="1"/>
    <col min="11268" max="11272" width="11.28515625" style="28" customWidth="1"/>
    <col min="11273" max="11273" width="9.85546875" style="28" customWidth="1"/>
    <col min="11274" max="11520" width="10.28515625" style="28"/>
    <col min="11521" max="11521" width="39" style="28" customWidth="1"/>
    <col min="11522" max="11523" width="9.85546875" style="28" customWidth="1"/>
    <col min="11524" max="11528" width="11.28515625" style="28" customWidth="1"/>
    <col min="11529" max="11529" width="9.85546875" style="28" customWidth="1"/>
    <col min="11530" max="11776" width="10.28515625" style="28"/>
    <col min="11777" max="11777" width="39" style="28" customWidth="1"/>
    <col min="11778" max="11779" width="9.85546875" style="28" customWidth="1"/>
    <col min="11780" max="11784" width="11.28515625" style="28" customWidth="1"/>
    <col min="11785" max="11785" width="9.85546875" style="28" customWidth="1"/>
    <col min="11786" max="12032" width="10.28515625" style="28"/>
    <col min="12033" max="12033" width="39" style="28" customWidth="1"/>
    <col min="12034" max="12035" width="9.85546875" style="28" customWidth="1"/>
    <col min="12036" max="12040" width="11.28515625" style="28" customWidth="1"/>
    <col min="12041" max="12041" width="9.85546875" style="28" customWidth="1"/>
    <col min="12042" max="12288" width="10.28515625" style="28"/>
    <col min="12289" max="12289" width="39" style="28" customWidth="1"/>
    <col min="12290" max="12291" width="9.85546875" style="28" customWidth="1"/>
    <col min="12292" max="12296" width="11.28515625" style="28" customWidth="1"/>
    <col min="12297" max="12297" width="9.85546875" style="28" customWidth="1"/>
    <col min="12298" max="12544" width="10.28515625" style="28"/>
    <col min="12545" max="12545" width="39" style="28" customWidth="1"/>
    <col min="12546" max="12547" width="9.85546875" style="28" customWidth="1"/>
    <col min="12548" max="12552" width="11.28515625" style="28" customWidth="1"/>
    <col min="12553" max="12553" width="9.85546875" style="28" customWidth="1"/>
    <col min="12554" max="12800" width="10.28515625" style="28"/>
    <col min="12801" max="12801" width="39" style="28" customWidth="1"/>
    <col min="12802" max="12803" width="9.85546875" style="28" customWidth="1"/>
    <col min="12804" max="12808" width="11.28515625" style="28" customWidth="1"/>
    <col min="12809" max="12809" width="9.85546875" style="28" customWidth="1"/>
    <col min="12810" max="13056" width="10.28515625" style="28"/>
    <col min="13057" max="13057" width="39" style="28" customWidth="1"/>
    <col min="13058" max="13059" width="9.85546875" style="28" customWidth="1"/>
    <col min="13060" max="13064" width="11.28515625" style="28" customWidth="1"/>
    <col min="13065" max="13065" width="9.85546875" style="28" customWidth="1"/>
    <col min="13066" max="13312" width="10.28515625" style="28"/>
    <col min="13313" max="13313" width="39" style="28" customWidth="1"/>
    <col min="13314" max="13315" width="9.85546875" style="28" customWidth="1"/>
    <col min="13316" max="13320" width="11.28515625" style="28" customWidth="1"/>
    <col min="13321" max="13321" width="9.85546875" style="28" customWidth="1"/>
    <col min="13322" max="13568" width="10.28515625" style="28"/>
    <col min="13569" max="13569" width="39" style="28" customWidth="1"/>
    <col min="13570" max="13571" width="9.85546875" style="28" customWidth="1"/>
    <col min="13572" max="13576" width="11.28515625" style="28" customWidth="1"/>
    <col min="13577" max="13577" width="9.85546875" style="28" customWidth="1"/>
    <col min="13578" max="13824" width="10.28515625" style="28"/>
    <col min="13825" max="13825" width="39" style="28" customWidth="1"/>
    <col min="13826" max="13827" width="9.85546875" style="28" customWidth="1"/>
    <col min="13828" max="13832" width="11.28515625" style="28" customWidth="1"/>
    <col min="13833" max="13833" width="9.85546875" style="28" customWidth="1"/>
    <col min="13834" max="14080" width="10.28515625" style="28"/>
    <col min="14081" max="14081" width="39" style="28" customWidth="1"/>
    <col min="14082" max="14083" width="9.85546875" style="28" customWidth="1"/>
    <col min="14084" max="14088" width="11.28515625" style="28" customWidth="1"/>
    <col min="14089" max="14089" width="9.85546875" style="28" customWidth="1"/>
    <col min="14090" max="14336" width="10.28515625" style="28"/>
    <col min="14337" max="14337" width="39" style="28" customWidth="1"/>
    <col min="14338" max="14339" width="9.85546875" style="28" customWidth="1"/>
    <col min="14340" max="14344" width="11.28515625" style="28" customWidth="1"/>
    <col min="14345" max="14345" width="9.85546875" style="28" customWidth="1"/>
    <col min="14346" max="14592" width="10.28515625" style="28"/>
    <col min="14593" max="14593" width="39" style="28" customWidth="1"/>
    <col min="14594" max="14595" width="9.85546875" style="28" customWidth="1"/>
    <col min="14596" max="14600" width="11.28515625" style="28" customWidth="1"/>
    <col min="14601" max="14601" width="9.85546875" style="28" customWidth="1"/>
    <col min="14602" max="14848" width="10.28515625" style="28"/>
    <col min="14849" max="14849" width="39" style="28" customWidth="1"/>
    <col min="14850" max="14851" width="9.85546875" style="28" customWidth="1"/>
    <col min="14852" max="14856" width="11.28515625" style="28" customWidth="1"/>
    <col min="14857" max="14857" width="9.85546875" style="28" customWidth="1"/>
    <col min="14858" max="15104" width="10.28515625" style="28"/>
    <col min="15105" max="15105" width="39" style="28" customWidth="1"/>
    <col min="15106" max="15107" width="9.85546875" style="28" customWidth="1"/>
    <col min="15108" max="15112" width="11.28515625" style="28" customWidth="1"/>
    <col min="15113" max="15113" width="9.85546875" style="28" customWidth="1"/>
    <col min="15114" max="15360" width="10.28515625" style="28"/>
    <col min="15361" max="15361" width="39" style="28" customWidth="1"/>
    <col min="15362" max="15363" width="9.85546875" style="28" customWidth="1"/>
    <col min="15364" max="15368" width="11.28515625" style="28" customWidth="1"/>
    <col min="15369" max="15369" width="9.85546875" style="28" customWidth="1"/>
    <col min="15370" max="15616" width="10.28515625" style="28"/>
    <col min="15617" max="15617" width="39" style="28" customWidth="1"/>
    <col min="15618" max="15619" width="9.85546875" style="28" customWidth="1"/>
    <col min="15620" max="15624" width="11.28515625" style="28" customWidth="1"/>
    <col min="15625" max="15625" width="9.85546875" style="28" customWidth="1"/>
    <col min="15626" max="15872" width="10.28515625" style="28"/>
    <col min="15873" max="15873" width="39" style="28" customWidth="1"/>
    <col min="15874" max="15875" width="9.85546875" style="28" customWidth="1"/>
    <col min="15876" max="15880" width="11.28515625" style="28" customWidth="1"/>
    <col min="15881" max="15881" width="9.85546875" style="28" customWidth="1"/>
    <col min="15882" max="16128" width="10.28515625" style="28"/>
    <col min="16129" max="16129" width="39" style="28" customWidth="1"/>
    <col min="16130" max="16131" width="9.85546875" style="28" customWidth="1"/>
    <col min="16132" max="16136" width="11.28515625" style="28" customWidth="1"/>
    <col min="16137" max="16137" width="9.85546875" style="28" customWidth="1"/>
    <col min="16138" max="16384" width="10.28515625" style="28"/>
  </cols>
  <sheetData>
    <row r="1" spans="1:12" x14ac:dyDescent="0.25">
      <c r="A1" s="27" t="s">
        <v>34</v>
      </c>
    </row>
    <row r="3" spans="1:12" x14ac:dyDescent="0.25">
      <c r="A3" s="29" t="s">
        <v>35</v>
      </c>
      <c r="B3" s="30"/>
    </row>
    <row r="4" spans="1:12" x14ac:dyDescent="0.25">
      <c r="A4" s="31" t="s">
        <v>36</v>
      </c>
      <c r="B4" s="32">
        <v>14000</v>
      </c>
      <c r="C4" s="71" t="s">
        <v>350</v>
      </c>
      <c r="D4" s="71"/>
      <c r="E4" s="71"/>
      <c r="F4" s="71"/>
      <c r="G4" s="71"/>
    </row>
    <row r="5" spans="1:12" x14ac:dyDescent="0.25">
      <c r="A5" s="33" t="s">
        <v>37</v>
      </c>
      <c r="B5" s="34">
        <v>5</v>
      </c>
      <c r="C5" s="71"/>
      <c r="D5" s="71"/>
      <c r="E5" s="71"/>
      <c r="F5" s="71"/>
      <c r="G5" s="71"/>
    </row>
    <row r="6" spans="1:12" x14ac:dyDescent="0.25">
      <c r="A6" s="33" t="s">
        <v>38</v>
      </c>
      <c r="B6" s="32">
        <f>B4/B5</f>
        <v>2800</v>
      </c>
      <c r="C6" s="71"/>
      <c r="D6" s="71"/>
      <c r="E6" s="71"/>
      <c r="F6" s="71"/>
      <c r="G6" s="71"/>
    </row>
    <row r="7" spans="1:12" x14ac:dyDescent="0.25">
      <c r="A7" s="28" t="s">
        <v>39</v>
      </c>
      <c r="B7" s="37">
        <f>'[1]Your Company''s FS'!L21</f>
        <v>0.52803501929651353</v>
      </c>
      <c r="C7" s="71"/>
      <c r="D7" s="71"/>
      <c r="E7" s="71"/>
      <c r="F7" s="71"/>
      <c r="G7" s="71"/>
      <c r="J7" s="33"/>
    </row>
    <row r="8" spans="1:12" x14ac:dyDescent="0.25">
      <c r="A8" s="33" t="s">
        <v>40</v>
      </c>
      <c r="B8" s="34">
        <f>'[1]Your Company''s FS'!L35</f>
        <v>46674</v>
      </c>
      <c r="C8" s="71"/>
      <c r="D8" s="71"/>
      <c r="E8" s="71"/>
      <c r="F8" s="71"/>
      <c r="G8" s="71"/>
      <c r="H8" s="38"/>
      <c r="I8" s="38"/>
      <c r="J8" s="38"/>
      <c r="K8" s="38"/>
      <c r="L8" s="38"/>
    </row>
    <row r="9" spans="1:12" x14ac:dyDescent="0.25">
      <c r="A9" s="33" t="s">
        <v>41</v>
      </c>
      <c r="B9" s="66">
        <f>'[1]Your Company''s FS'!L35/'[1]Your Company''s FS'!L11</f>
        <v>0.19041130539078499</v>
      </c>
      <c r="C9" s="71"/>
      <c r="D9" s="71"/>
      <c r="E9" s="71"/>
      <c r="F9" s="71"/>
      <c r="G9" s="71"/>
      <c r="H9" s="38"/>
      <c r="I9" s="38"/>
      <c r="J9" s="38"/>
      <c r="K9" s="38"/>
      <c r="L9" s="38"/>
    </row>
    <row r="10" spans="1:12" x14ac:dyDescent="0.25">
      <c r="A10" s="33" t="s">
        <v>42</v>
      </c>
      <c r="B10" s="67">
        <f>0.01*C19</f>
        <v>147.07320000000001</v>
      </c>
      <c r="C10" s="71"/>
      <c r="D10" s="71"/>
      <c r="E10" s="71"/>
      <c r="F10" s="71"/>
      <c r="G10" s="71"/>
      <c r="H10" s="38"/>
      <c r="I10" s="38"/>
      <c r="J10" s="38"/>
      <c r="K10" s="38"/>
      <c r="L10" s="38"/>
    </row>
    <row r="11" spans="1:12" x14ac:dyDescent="0.25">
      <c r="A11" s="39" t="s">
        <v>43</v>
      </c>
      <c r="B11" s="34">
        <v>0</v>
      </c>
      <c r="C11" s="71"/>
      <c r="D11" s="71"/>
      <c r="E11" s="71"/>
      <c r="F11" s="71"/>
      <c r="G11" s="71"/>
      <c r="H11" s="38"/>
      <c r="I11" s="38"/>
      <c r="J11" s="38"/>
      <c r="K11" s="38"/>
      <c r="L11" s="38"/>
    </row>
    <row r="12" spans="1:12" x14ac:dyDescent="0.25">
      <c r="A12" s="39" t="s">
        <v>44</v>
      </c>
      <c r="B12" s="20">
        <v>0.21</v>
      </c>
      <c r="C12" s="71"/>
      <c r="D12" s="71"/>
      <c r="E12" s="71"/>
      <c r="F12" s="71"/>
      <c r="G12" s="71"/>
      <c r="J12" s="33"/>
    </row>
    <row r="13" spans="1:12" x14ac:dyDescent="0.25">
      <c r="A13" s="57" t="s">
        <v>45</v>
      </c>
      <c r="B13" s="20">
        <f>'Your Company''s Cost of Capital'!C23</f>
        <v>7.96183595639018E-2</v>
      </c>
      <c r="C13" s="54" t="s">
        <v>67</v>
      </c>
      <c r="G13" s="36"/>
      <c r="J13" s="33"/>
    </row>
    <row r="14" spans="1:12" x14ac:dyDescent="0.25">
      <c r="A14" s="33" t="s">
        <v>46</v>
      </c>
      <c r="B14" s="32">
        <f>0.06*'[1]Your Company''s FS'!L11</f>
        <v>14707.32</v>
      </c>
      <c r="C14" s="35"/>
      <c r="D14" s="35"/>
      <c r="E14" s="27"/>
      <c r="G14" s="36"/>
      <c r="I14" s="35"/>
      <c r="J14" s="35"/>
      <c r="K14" s="35"/>
      <c r="L14" s="35"/>
    </row>
    <row r="15" spans="1:12" x14ac:dyDescent="0.25">
      <c r="A15" s="40" t="s">
        <v>47</v>
      </c>
      <c r="B15" s="35"/>
      <c r="C15" s="37">
        <v>0.06</v>
      </c>
      <c r="D15" s="37">
        <v>0.15</v>
      </c>
      <c r="E15" s="20">
        <v>0.14000000000000001</v>
      </c>
      <c r="F15" s="20">
        <v>0.1</v>
      </c>
      <c r="G15" s="20">
        <v>0.06</v>
      </c>
      <c r="J15" s="33"/>
    </row>
    <row r="16" spans="1:12" x14ac:dyDescent="0.25">
      <c r="B16" s="41" t="s">
        <v>48</v>
      </c>
      <c r="C16" s="41" t="s">
        <v>48</v>
      </c>
      <c r="D16" s="41" t="s">
        <v>48</v>
      </c>
      <c r="E16" s="41" t="s">
        <v>48</v>
      </c>
      <c r="F16" s="41" t="s">
        <v>48</v>
      </c>
      <c r="G16" s="41" t="s">
        <v>48</v>
      </c>
      <c r="H16" s="41"/>
      <c r="I16" s="41"/>
      <c r="J16" s="33"/>
    </row>
    <row r="17" spans="1:10" x14ac:dyDescent="0.25">
      <c r="B17" s="41">
        <v>2025</v>
      </c>
      <c r="C17" s="41">
        <f>B17+1</f>
        <v>2026</v>
      </c>
      <c r="D17" s="41">
        <f>C17+1</f>
        <v>2027</v>
      </c>
      <c r="E17" s="41">
        <f>D17+1</f>
        <v>2028</v>
      </c>
      <c r="F17" s="41">
        <f>E17+1</f>
        <v>2029</v>
      </c>
      <c r="G17" s="41">
        <f>F17+1</f>
        <v>2030</v>
      </c>
      <c r="H17" s="41"/>
      <c r="I17" s="41"/>
      <c r="J17" s="33"/>
    </row>
    <row r="18" spans="1:10" x14ac:dyDescent="0.25">
      <c r="A18" s="42" t="s">
        <v>49</v>
      </c>
      <c r="B18" s="43">
        <v>0</v>
      </c>
      <c r="C18" s="43">
        <v>1</v>
      </c>
      <c r="D18" s="43">
        <v>2</v>
      </c>
      <c r="E18" s="43">
        <v>3</v>
      </c>
      <c r="F18" s="43">
        <v>4</v>
      </c>
      <c r="G18" s="43">
        <v>5</v>
      </c>
      <c r="H18" s="43"/>
    </row>
    <row r="19" spans="1:10" x14ac:dyDescent="0.25">
      <c r="A19" s="31" t="s">
        <v>50</v>
      </c>
      <c r="B19" s="44"/>
      <c r="C19" s="68">
        <f>B14</f>
        <v>14707.32</v>
      </c>
      <c r="D19" s="68">
        <f>C19*(1+D15)</f>
        <v>16913.417999999998</v>
      </c>
      <c r="E19" s="68">
        <f t="shared" ref="E19:G19" si="0">D19*(1+E15)</f>
        <v>19281.29652</v>
      </c>
      <c r="F19" s="68">
        <f t="shared" si="0"/>
        <v>21209.426172000003</v>
      </c>
      <c r="G19" s="68">
        <f t="shared" si="0"/>
        <v>22481.991742320006</v>
      </c>
      <c r="H19" s="44"/>
      <c r="I19" s="44"/>
    </row>
    <row r="20" spans="1:10" x14ac:dyDescent="0.25">
      <c r="A20" s="33" t="s">
        <v>51</v>
      </c>
      <c r="B20" s="45"/>
      <c r="C20" s="69">
        <f>C19*$B$7</f>
        <v>7765.98</v>
      </c>
      <c r="D20" s="69">
        <f t="shared" ref="D20:G20" si="1">D19*$B$7</f>
        <v>8930.8769999999986</v>
      </c>
      <c r="E20" s="69">
        <f t="shared" si="1"/>
        <v>10181.199779999999</v>
      </c>
      <c r="F20" s="69">
        <f t="shared" si="1"/>
        <v>11199.319758000001</v>
      </c>
      <c r="G20" s="69">
        <f t="shared" si="1"/>
        <v>11871.278943480002</v>
      </c>
      <c r="H20" s="45"/>
      <c r="I20" s="45"/>
    </row>
    <row r="21" spans="1:10" x14ac:dyDescent="0.25">
      <c r="A21" s="33" t="s">
        <v>52</v>
      </c>
      <c r="B21" s="45"/>
      <c r="C21" s="69">
        <f>B6</f>
        <v>2800</v>
      </c>
      <c r="D21" s="69">
        <f>C21</f>
        <v>2800</v>
      </c>
      <c r="E21" s="69">
        <f t="shared" ref="E21:G21" si="2">D21</f>
        <v>2800</v>
      </c>
      <c r="F21" s="69">
        <f t="shared" si="2"/>
        <v>2800</v>
      </c>
      <c r="G21" s="69">
        <f t="shared" si="2"/>
        <v>2800</v>
      </c>
      <c r="H21" s="45"/>
      <c r="I21" s="45"/>
    </row>
    <row r="22" spans="1:10" x14ac:dyDescent="0.25">
      <c r="A22" s="33" t="s">
        <v>53</v>
      </c>
      <c r="B22" s="45"/>
      <c r="C22" s="69">
        <f>(C20-C21)*$B$12</f>
        <v>1042.8557999999998</v>
      </c>
      <c r="D22" s="69">
        <f t="shared" ref="D22:G22" si="3">(D20-D21)*$B$12</f>
        <v>1287.4841699999997</v>
      </c>
      <c r="E22" s="69">
        <f t="shared" si="3"/>
        <v>1550.0519537999996</v>
      </c>
      <c r="F22" s="69">
        <f t="shared" si="3"/>
        <v>1763.8571491800003</v>
      </c>
      <c r="G22" s="69">
        <f t="shared" si="3"/>
        <v>1904.9685781308003</v>
      </c>
      <c r="H22" s="45"/>
      <c r="I22" s="45"/>
    </row>
    <row r="23" spans="1:10" x14ac:dyDescent="0.25">
      <c r="A23" s="28" t="s">
        <v>54</v>
      </c>
      <c r="B23" s="45"/>
      <c r="C23" s="69">
        <f>(C20-C21)*(1-$B$12)</f>
        <v>3923.1241999999997</v>
      </c>
      <c r="D23" s="69">
        <f t="shared" ref="D23:G23" si="4">(D20-D21)*(1-$B$12)</f>
        <v>4843.3928299999989</v>
      </c>
      <c r="E23" s="69">
        <f t="shared" si="4"/>
        <v>5831.1478261999991</v>
      </c>
      <c r="F23" s="69">
        <f t="shared" si="4"/>
        <v>6635.4626088200012</v>
      </c>
      <c r="G23" s="69">
        <f t="shared" si="4"/>
        <v>7166.3103653492017</v>
      </c>
      <c r="H23" s="45"/>
      <c r="I23" s="45"/>
    </row>
    <row r="24" spans="1:10" x14ac:dyDescent="0.25">
      <c r="A24" s="33"/>
      <c r="B24" s="45"/>
      <c r="C24" s="45"/>
      <c r="D24" s="45"/>
      <c r="E24" s="45"/>
      <c r="F24" s="45"/>
      <c r="G24" s="45"/>
      <c r="H24" s="45"/>
      <c r="I24" s="45"/>
    </row>
    <row r="25" spans="1:10" x14ac:dyDescent="0.25">
      <c r="A25" s="46" t="s">
        <v>55</v>
      </c>
      <c r="B25" s="45"/>
      <c r="C25" s="45"/>
      <c r="D25" s="45"/>
      <c r="E25" s="45"/>
      <c r="F25" s="45"/>
      <c r="G25" s="45"/>
      <c r="H25" s="45"/>
      <c r="I25" s="45"/>
    </row>
    <row r="26" spans="1:10" x14ac:dyDescent="0.25">
      <c r="A26" s="28" t="s">
        <v>56</v>
      </c>
      <c r="B26" s="69">
        <f>B10</f>
        <v>147.07320000000001</v>
      </c>
      <c r="C26" s="69">
        <f>C19*$B$9</f>
        <v>2800.44</v>
      </c>
      <c r="D26" s="69">
        <f>D19*$B$9</f>
        <v>3220.5059999999994</v>
      </c>
      <c r="E26" s="69">
        <f t="shared" ref="E26:F26" si="5">E19*$B$9</f>
        <v>3671.3768399999999</v>
      </c>
      <c r="F26" s="69">
        <f t="shared" si="5"/>
        <v>4038.5145240000006</v>
      </c>
      <c r="G26" s="45">
        <v>0</v>
      </c>
      <c r="H26" s="45"/>
      <c r="I26" s="45"/>
    </row>
    <row r="27" spans="1:10" x14ac:dyDescent="0.25">
      <c r="A27" s="28" t="s">
        <v>57</v>
      </c>
      <c r="B27" s="45"/>
      <c r="C27" s="69">
        <f>C26-B26</f>
        <v>2653.3668000000002</v>
      </c>
      <c r="D27" s="69">
        <f>D26-C26</f>
        <v>420.06599999999935</v>
      </c>
      <c r="E27" s="69">
        <f t="shared" ref="E27:G27" si="6">E26-D26</f>
        <v>450.8708400000005</v>
      </c>
      <c r="F27" s="69">
        <f t="shared" si="6"/>
        <v>367.13768400000072</v>
      </c>
      <c r="G27" s="69">
        <f t="shared" si="6"/>
        <v>-4038.5145240000006</v>
      </c>
      <c r="H27" s="45"/>
      <c r="I27" s="45"/>
    </row>
    <row r="28" spans="1:10" x14ac:dyDescent="0.25">
      <c r="A28" s="28" t="s">
        <v>58</v>
      </c>
      <c r="B28" s="45"/>
      <c r="C28" s="69">
        <f>-C27</f>
        <v>-2653.3668000000002</v>
      </c>
      <c r="D28" s="69">
        <f t="shared" ref="D28:G28" si="7">-D27</f>
        <v>-420.06599999999935</v>
      </c>
      <c r="E28" s="69">
        <f t="shared" si="7"/>
        <v>-450.8708400000005</v>
      </c>
      <c r="F28" s="69">
        <f t="shared" si="7"/>
        <v>-367.13768400000072</v>
      </c>
      <c r="G28" s="69">
        <f t="shared" si="7"/>
        <v>4038.5145240000006</v>
      </c>
      <c r="H28" s="45"/>
      <c r="I28" s="45"/>
    </row>
    <row r="29" spans="1:10" x14ac:dyDescent="0.25">
      <c r="B29" s="45"/>
      <c r="C29" s="45"/>
      <c r="D29" s="45"/>
      <c r="E29" s="45"/>
      <c r="F29" s="45"/>
      <c r="G29" s="45"/>
      <c r="H29" s="45"/>
      <c r="I29" s="45"/>
    </row>
    <row r="30" spans="1:10" x14ac:dyDescent="0.25">
      <c r="A30" s="47" t="s">
        <v>59</v>
      </c>
      <c r="B30" s="45"/>
      <c r="C30" s="45"/>
      <c r="D30" s="45"/>
      <c r="E30" s="45"/>
      <c r="F30" s="45"/>
      <c r="G30" s="45"/>
      <c r="H30" s="45"/>
      <c r="I30" s="45"/>
    </row>
    <row r="31" spans="1:10" x14ac:dyDescent="0.25">
      <c r="A31" s="28" t="s">
        <v>54</v>
      </c>
      <c r="B31" s="48"/>
      <c r="C31" s="69">
        <f>(C20-C21)*(1-$B$12)</f>
        <v>3923.1241999999997</v>
      </c>
      <c r="D31" s="69">
        <f t="shared" ref="D31:G31" si="8">(D20-D21)*(1-$B$12)</f>
        <v>4843.3928299999989</v>
      </c>
      <c r="E31" s="69">
        <f t="shared" si="8"/>
        <v>5831.1478261999991</v>
      </c>
      <c r="F31" s="69">
        <f t="shared" si="8"/>
        <v>6635.4626088200012</v>
      </c>
      <c r="G31" s="69">
        <f t="shared" si="8"/>
        <v>7166.3103653492017</v>
      </c>
      <c r="H31" s="45"/>
      <c r="I31" s="45"/>
    </row>
    <row r="32" spans="1:10" x14ac:dyDescent="0.25">
      <c r="A32" s="28" t="s">
        <v>60</v>
      </c>
      <c r="B32" s="45"/>
      <c r="C32" s="69">
        <f>C21</f>
        <v>2800</v>
      </c>
      <c r="D32" s="69">
        <f t="shared" ref="D32:G32" si="9">D21</f>
        <v>2800</v>
      </c>
      <c r="E32" s="69">
        <f t="shared" si="9"/>
        <v>2800</v>
      </c>
      <c r="F32" s="69">
        <f t="shared" si="9"/>
        <v>2800</v>
      </c>
      <c r="G32" s="69">
        <f t="shared" si="9"/>
        <v>2800</v>
      </c>
      <c r="H32" s="45"/>
      <c r="I32" s="45"/>
    </row>
    <row r="33" spans="1:9" x14ac:dyDescent="0.25">
      <c r="A33" s="28" t="s">
        <v>61</v>
      </c>
      <c r="B33" s="45"/>
      <c r="C33" s="69">
        <f>C27</f>
        <v>2653.3668000000002</v>
      </c>
      <c r="D33" s="69">
        <f t="shared" ref="D33:G33" si="10">D27</f>
        <v>420.06599999999935</v>
      </c>
      <c r="E33" s="69">
        <f t="shared" si="10"/>
        <v>450.8708400000005</v>
      </c>
      <c r="F33" s="69">
        <f t="shared" si="10"/>
        <v>367.13768400000072</v>
      </c>
      <c r="G33" s="69">
        <f t="shared" si="10"/>
        <v>-4038.5145240000006</v>
      </c>
      <c r="H33" s="45"/>
      <c r="I33" s="45"/>
    </row>
    <row r="34" spans="1:9" x14ac:dyDescent="0.25">
      <c r="A34" s="28" t="s">
        <v>62</v>
      </c>
      <c r="B34" s="45">
        <f>B4</f>
        <v>14000</v>
      </c>
      <c r="C34" s="45">
        <v>0</v>
      </c>
      <c r="D34" s="45">
        <v>0</v>
      </c>
      <c r="E34" s="45">
        <v>0</v>
      </c>
      <c r="F34" s="45">
        <v>0</v>
      </c>
      <c r="G34" s="45">
        <v>0</v>
      </c>
      <c r="H34" s="45"/>
      <c r="I34" s="45"/>
    </row>
    <row r="35" spans="1:9" x14ac:dyDescent="0.25">
      <c r="A35" s="27" t="s">
        <v>63</v>
      </c>
      <c r="B35" s="45">
        <f>-(B34+B26)</f>
        <v>-14147.073200000001</v>
      </c>
      <c r="C35" s="69">
        <f>C31+C32-C33-C34</f>
        <v>4069.7574</v>
      </c>
      <c r="D35" s="69">
        <f t="shared" ref="D35:G35" si="11">D31+D32-D33-D34</f>
        <v>7223.32683</v>
      </c>
      <c r="E35" s="69">
        <f t="shared" si="11"/>
        <v>8180.2769861999977</v>
      </c>
      <c r="F35" s="69">
        <f t="shared" si="11"/>
        <v>9068.3249248200009</v>
      </c>
      <c r="G35" s="69">
        <f t="shared" si="11"/>
        <v>14004.824889349202</v>
      </c>
      <c r="H35" s="45"/>
      <c r="I35" s="45"/>
    </row>
    <row r="36" spans="1:9" x14ac:dyDescent="0.25">
      <c r="B36" s="45"/>
      <c r="C36" s="45"/>
      <c r="D36" s="45"/>
      <c r="E36" s="45"/>
      <c r="F36" s="45"/>
      <c r="G36" s="45"/>
      <c r="H36" s="45"/>
      <c r="I36" s="45"/>
    </row>
    <row r="37" spans="1:9" x14ac:dyDescent="0.25">
      <c r="A37" s="28" t="s">
        <v>64</v>
      </c>
      <c r="B37" s="49">
        <f>(1/(1+$B$13)^B18)</f>
        <v>1</v>
      </c>
      <c r="C37" s="49">
        <f t="shared" ref="C37:G37" si="12">(1/(1+$B$13)^C18)</f>
        <v>0.92625323674926896</v>
      </c>
      <c r="D37" s="49">
        <f t="shared" si="12"/>
        <v>0.85794505858849712</v>
      </c>
      <c r="E37" s="49">
        <f t="shared" si="12"/>
        <v>0.79467438747063668</v>
      </c>
      <c r="F37" s="49">
        <f t="shared" si="12"/>
        <v>0.73606972355641975</v>
      </c>
      <c r="G37" s="49">
        <f t="shared" si="12"/>
        <v>0.68178696391727334</v>
      </c>
      <c r="H37" s="49"/>
      <c r="I37" s="45"/>
    </row>
    <row r="38" spans="1:9" x14ac:dyDescent="0.25">
      <c r="A38" s="28" t="s">
        <v>65</v>
      </c>
      <c r="B38" s="45">
        <f>B35*B37</f>
        <v>-14147.073200000001</v>
      </c>
      <c r="C38" s="45">
        <f t="shared" ref="C38:G38" si="13">C35*C37</f>
        <v>3769.6259645342893</v>
      </c>
      <c r="D38" s="45">
        <f t="shared" si="13"/>
        <v>6197.2175603682135</v>
      </c>
      <c r="E38" s="45">
        <f t="shared" si="13"/>
        <v>6500.6566033486288</v>
      </c>
      <c r="F38" s="45">
        <f t="shared" si="13"/>
        <v>6674.9194205320491</v>
      </c>
      <c r="G38" s="45">
        <f t="shared" si="13"/>
        <v>9548.3070415024558</v>
      </c>
      <c r="H38" s="45"/>
      <c r="I38" s="45"/>
    </row>
    <row r="39" spans="1:9" x14ac:dyDescent="0.25">
      <c r="A39" s="27" t="s">
        <v>66</v>
      </c>
      <c r="B39" s="50">
        <f>B35+NPV(B13,C35,D35,E35,F35,G35)</f>
        <v>18543.653390285632</v>
      </c>
      <c r="C39" s="45"/>
      <c r="D39" s="45"/>
      <c r="E39" s="45"/>
      <c r="F39" s="45"/>
      <c r="G39" s="45"/>
      <c r="H39" s="45"/>
      <c r="I39" s="45"/>
    </row>
    <row r="40" spans="1:9" x14ac:dyDescent="0.25">
      <c r="B40" s="45"/>
      <c r="C40" s="45"/>
      <c r="D40" s="45"/>
      <c r="E40" s="45"/>
      <c r="F40" s="45"/>
      <c r="G40" s="45"/>
      <c r="H40" s="45"/>
      <c r="I40" s="45"/>
    </row>
    <row r="41" spans="1:9" x14ac:dyDescent="0.25">
      <c r="B41" s="51"/>
      <c r="C41" s="51"/>
      <c r="D41" s="51"/>
      <c r="E41" s="51"/>
      <c r="F41" s="51"/>
      <c r="G41" s="51"/>
      <c r="H41" s="51"/>
      <c r="I41" s="51"/>
    </row>
    <row r="54" spans="1:6" x14ac:dyDescent="0.25">
      <c r="B54" s="52"/>
      <c r="C54" s="52"/>
      <c r="D54" s="52"/>
      <c r="E54" s="52"/>
      <c r="F54" s="52"/>
    </row>
    <row r="64" spans="1:6" x14ac:dyDescent="0.25">
      <c r="A64" s="27"/>
      <c r="C64" s="52"/>
      <c r="D64" s="52"/>
      <c r="E64" s="53"/>
    </row>
    <row r="65" spans="1:5" x14ac:dyDescent="0.25">
      <c r="A65" s="27"/>
      <c r="C65" s="52"/>
      <c r="D65" s="52"/>
      <c r="E65" s="53"/>
    </row>
    <row r="84" spans="2:2" x14ac:dyDescent="0.25">
      <c r="B84" s="52"/>
    </row>
  </sheetData>
  <mergeCells count="1">
    <mergeCell ref="C4:G12"/>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Dell's Complete Financials</vt:lpstr>
      <vt:lpstr>Dell's cost of capital</vt:lpstr>
      <vt:lpstr>Your Company's Financials</vt:lpstr>
      <vt:lpstr>Your Company's Cost of Capital</vt:lpstr>
      <vt:lpstr>Update Q6 in Case Part I.2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2026-06-29T17:21:29Z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80e953-9b6b-468f-8427-2c8321bc8283_Enabled">
    <vt:lpwstr>true</vt:lpwstr>
  </property>
  <property fmtid="{D5CDD505-2E9C-101B-9397-08002B2CF9AE}" pid="3" name="MSIP_Label_ca80e953-9b6b-468f-8427-2c8321bc8283_SetDate">
    <vt:lpwstr>2024-11-15T18:18:09Z</vt:lpwstr>
  </property>
  <property fmtid="{D5CDD505-2E9C-101B-9397-08002B2CF9AE}" pid="4" name="MSIP_Label_ca80e953-9b6b-468f-8427-2c8321bc8283_Method">
    <vt:lpwstr>Standard</vt:lpwstr>
  </property>
  <property fmtid="{D5CDD505-2E9C-101B-9397-08002B2CF9AE}" pid="5" name="MSIP_Label_ca80e953-9b6b-468f-8427-2c8321bc8283_Name">
    <vt:lpwstr>University-Internal</vt:lpwstr>
  </property>
  <property fmtid="{D5CDD505-2E9C-101B-9397-08002B2CF9AE}" pid="6" name="MSIP_Label_ca80e953-9b6b-468f-8427-2c8321bc8283_SiteId">
    <vt:lpwstr>eed99d2e-3551-4ec5-9e90-10a7ff3e13a2</vt:lpwstr>
  </property>
  <property fmtid="{D5CDD505-2E9C-101B-9397-08002B2CF9AE}" pid="7" name="MSIP_Label_ca80e953-9b6b-468f-8427-2c8321bc8283_ActionId">
    <vt:lpwstr>dc3d6623-a097-4783-816e-8026be5ed270</vt:lpwstr>
  </property>
  <property fmtid="{D5CDD505-2E9C-101B-9397-08002B2CF9AE}" pid="8" name="MSIP_Label_ca80e953-9b6b-468f-8427-2c8321bc8283_ContentBits">
    <vt:lpwstr>0</vt:lpwstr>
  </property>
</Properties>
</file>